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ound_CapTable" sheetId="3" state="visible" r:id="rId5"/>
    <sheet name="Use_of_Funds" sheetId="4" state="visible" r:id="rId6"/>
    <sheet name="Burn_Plan" sheetId="5" state="visible" r:id="rId7"/>
    <sheet name="Stage_Plan" sheetId="6" state="visible" r:id="rId8"/>
    <sheet name="Returns" sheetId="7" state="visible" r:id="rId9"/>
    <sheet name="Valuation" sheetId="8" state="visible" r:id="rId10"/>
    <sheet name="Truthiness_Ledger" sheetId="9" state="visible" r:id="rId11"/>
    <sheet name="Check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<sst xmlns="http://schemas.openxmlformats.org/spreadsheetml/2006/main" count="526" uniqueCount="442">
  <si>
    <t xml:space="preserve">X (Super Intellect) — Round 1 Financial Model</t>
  </si>
  <si>
    <t xml:space="preserve">Purpose</t>
  </si>
  <si>
    <t xml:space="preserve">Stage-gated financial model for the ₹180 Cr Round 1 at ₹6,000 Cr post-money (3.0%). Built for explaining the opportunity, the use of funds, the return profile and the investor protections to Indian angel / family-office / strategic investors.</t>
  </si>
  <si>
    <t xml:space="preserve">Basis</t>
  </si>
  <si>
    <t xml:space="preserve">Frozen Core 1.0 (X_Final_Canon, 2 Sep 2026, slides 1–80): X = Interpretive Intelligence activated through Cognitive Continuity; product object = Portable Cognitive Identity; architecture = XOS. The extract provided contains no XOS architecture detail, proof plan or commercial plan, so all cost, timing and outcome numbers here are PROPOSED ASSUMPTIONS, not derived from the Canon.</t>
  </si>
  <si>
    <t xml:space="preserve">Colour code</t>
  </si>
  <si>
    <t xml:space="preserve">Blue text = hard-coded input you can change. Black = formula. Green = link from another sheet. Yellow fill = key assumption to review first.</t>
  </si>
  <si>
    <t xml:space="preserve">Truthiness</t>
  </si>
  <si>
    <t xml:space="preserve">Each key assumption carries an epistemic state using the Canon vocabulary (Known / Demonstrated / Inferred / Assumed / Uncertain / Disputed). See the Truthiness_Ledger sheet for claim, limit, counter-lens and falsifier.</t>
  </si>
  <si>
    <t xml:space="preserve">Sheets</t>
  </si>
  <si>
    <t xml:space="preserve">Inputs · Round_CapTable · Use_of_Funds · Burn_Plan · Stage_Plan · Returns · Valuation · Truthiness_Ledger · Checks</t>
  </si>
  <si>
    <t xml:space="preserve">Start here</t>
  </si>
  <si>
    <t xml:space="preserve">1) Inputs: confirm FX, round terms, tranches, scenario probabilities. 2) Burn_Plan: replace headcount/cost ramps with the real plan. 3) Inputs!B17: enter the founder allocation (currently 0 = TBD). 4) Checks: everything must read OK.</t>
  </si>
  <si>
    <t xml:space="preserve">Unit</t>
  </si>
  <si>
    <t xml:space="preserve">₹ Crore unless stated. 1 Cr = 10 million. USD figures use the FX input (Assumption, update to the prevailing rate).</t>
  </si>
  <si>
    <t xml:space="preserve">Important</t>
  </si>
  <si>
    <t xml:space="preserve">Scenario probabilities and exit values are illustrative judgement calls, not forecasts. Investors will bring their own; the model is built so they can change them. Market comparables are press-reported, not company-confirmed. This is a planning model, not investment, legal or tax advice — have counsel and a chartered accountant validate structure (SEBI, FEMA, Companies Act, tax).</t>
  </si>
  <si>
    <t xml:space="preserve">Inputs &amp; Assumptions</t>
  </si>
  <si>
    <t xml:space="preserve">Blue = input. Epistemic state uses the Canon Truthiness vocabulary. All ₹ in Crore.</t>
  </si>
  <si>
    <t xml:space="preserve">Assumption</t>
  </si>
  <si>
    <t xml:space="preserve">Value</t>
  </si>
  <si>
    <t xml:space="preserve">Epistemic state</t>
  </si>
  <si>
    <t xml:space="preserve">Source / note</t>
  </si>
  <si>
    <t xml:space="preserve">Round terms</t>
  </si>
  <si>
    <t xml:space="preserve">FX rate</t>
  </si>
  <si>
    <t xml:space="preserve">₹ per US$</t>
  </si>
  <si>
    <t xml:space="preserve">ASSUMED</t>
  </si>
  <si>
    <t xml:space="preserve">Placeholder — update to prevailing rate.</t>
  </si>
  <si>
    <t xml:space="preserve">Post-money valuation</t>
  </si>
  <si>
    <t xml:space="preserve">₹ Cr</t>
  </si>
  <si>
    <t xml:space="preserve">FOUNDER-SET</t>
  </si>
  <si>
    <t xml:space="preserve">Founder instruction: ₹6,000 Cr valuation.</t>
  </si>
  <si>
    <t xml:space="preserve">Round 1 size</t>
  </si>
  <si>
    <t xml:space="preserve">Founder instruction: ₹180 Cr (≈3%).</t>
  </si>
  <si>
    <t xml:space="preserve">Pre-money valuation</t>
  </si>
  <si>
    <t xml:space="preserve">Post-money less round size.</t>
  </si>
  <si>
    <t xml:space="preserve">New-investor dilution</t>
  </si>
  <si>
    <t xml:space="preserve">%</t>
  </si>
  <si>
    <t xml:space="preserve">Σ tranche ÷ tranche post-money (= round ÷ post-money when priced flat).</t>
  </si>
  <si>
    <t xml:space="preserve">Price of 1% of the company</t>
  </si>
  <si>
    <t xml:space="preserve">Post-money in US$</t>
  </si>
  <si>
    <t xml:space="preserve">US$ mn</t>
  </si>
  <si>
    <t xml:space="preserve">₹ Cr × 10 ÷ FX.</t>
  </si>
  <si>
    <t xml:space="preserve">Round size in US$</t>
  </si>
  <si>
    <t xml:space="preserve">Investor hurdle rate</t>
  </si>
  <si>
    <t xml:space="preserve">% p.a.</t>
  </si>
  <si>
    <t xml:space="preserve">Typical early-stage Indian angel/VC hurdle; investors will set their own.</t>
  </si>
  <si>
    <t xml:space="preserve">Minimum contingency reserve</t>
  </si>
  <si>
    <t xml:space="preserve">% of round</t>
  </si>
  <si>
    <t xml:space="preserve">Policy floor for unallocated reserve.</t>
  </si>
  <si>
    <t xml:space="preserve">GPU cost</t>
  </si>
  <si>
    <t xml:space="preserve">₹ / GPU-hr</t>
  </si>
  <si>
    <t xml:space="preserve">IndiaAI-reported subsidised rates ≈ ₹65–116/GPU-hr (press-reported); open-market rates are higher. Update with quotes.</t>
  </si>
  <si>
    <t xml:space="preserve">Founder allocation within round</t>
  </si>
  <si>
    <t xml:space="preserve">TBD</t>
  </si>
  <si>
    <t xml:space="preserve">Founder said "my part" will follow. Placeholder = 0; any amount reduces the reserve. Recommend a capped, disclosed amount.</t>
  </si>
  <si>
    <t xml:space="preserve">Founders — pre-round ownership</t>
  </si>
  <si>
    <t xml:space="preserve">Placeholder; replace with actual cap table.</t>
  </si>
  <si>
    <t xml:space="preserve">ESOP pool — pre-round</t>
  </si>
  <si>
    <t xml:space="preserve">Placeholder.</t>
  </si>
  <si>
    <t xml:space="preserve">Other holders — pre-round</t>
  </si>
  <si>
    <t xml:space="preserve">SEBI angel-fund cap per startup</t>
  </si>
  <si>
    <t xml:space="preserve">INFERRED</t>
  </si>
  <si>
    <t xml:space="preserve">SEBI board approved ₹10 lakh–₹25 Cr per startup (June 2025, press/law-firm summaries). Verify final notification.</t>
  </si>
  <si>
    <t xml:space="preserve">Tranche</t>
  </si>
  <si>
    <t xml:space="preserve">Release qtr</t>
  </si>
  <si>
    <t xml:space="preserve">Timing (yrs)</t>
  </si>
  <si>
    <t xml:space="preserve">Amount (₹ Cr)</t>
  </si>
  <si>
    <t xml:space="preserve">Cumulative (₹ Cr)</t>
  </si>
  <si>
    <t xml:space="preserve">Gate / milestone (PROPOSED — define with counsel and Scientific Advisory Board)</t>
  </si>
  <si>
    <t xml:space="preserve">Idx</t>
  </si>
  <si>
    <t xml:space="preserve">Post-money for tranche (₹ Cr)</t>
  </si>
  <si>
    <t xml:space="preserve">T1 — Closing</t>
  </si>
  <si>
    <t xml:space="preserve">Close. Fund build of the reference implementation of Portable Cognitive Identity (8 layers) and the Continuity Handshake.</t>
  </si>
  <si>
    <t xml:space="preserve">Default = flat headline price. Override I23:I26 with step prices (e.g. 3000 / 4500 / 6000 / 6000) to test a milestone-earned valuation; dilution then rises above 3%.</t>
  </si>
  <si>
    <t xml:space="preserve">T2 — Gate 1 (Proof)</t>
  </si>
  <si>
    <t xml:space="preserve">Reference implementation live across ≥3 model families; independent validation report on calibrated-claims benchmark; ≥2 design-partner pilots signed.</t>
  </si>
  <si>
    <t xml:space="preserve">T3 — Gate 2 (Demand + Co-Creator)</t>
  </si>
  <si>
    <t xml:space="preserve">≥5 paid pilots/LOIs; security certification (e.g. ISO 27001) achieved; signed LOI / term sheet from ≥1 Co-Creator candidate.</t>
  </si>
  <si>
    <t xml:space="preserve">T4 — Gate 3 (Co-Creation)</t>
  </si>
  <si>
    <t xml:space="preserve">Definitive co-creation / option agreement with Co-Creator (exclusivity fee received) or strategic licence executed.</t>
  </si>
  <si>
    <t xml:space="preserve">Total / check</t>
  </si>
  <si>
    <t xml:space="preserve">Scenario</t>
  </si>
  <si>
    <t xml:space="preserve">Type (S=success, F=fail)</t>
  </si>
  <si>
    <t xml:space="preserve">Probability</t>
  </si>
  <si>
    <t xml:space="preserve">Company equity value at event (₹ Cr)</t>
  </si>
  <si>
    <t xml:space="preserve">Additional dilution before exit</t>
  </si>
  <si>
    <t xml:space="preserve">Tranches deployed</t>
  </si>
  <si>
    <t xml:space="preserve">Avg hold (yrs)</t>
  </si>
  <si>
    <t xml:space="preserve">Liq. pref (x)</t>
  </si>
  <si>
    <t xml:space="preserve">Recovery % of invested (fail cases)</t>
  </si>
  <si>
    <t xml:space="preserve">Rationale / precedent</t>
  </si>
  <si>
    <t xml:space="preserve">S1 Co-creation: X becomes the continuity layer in the Co-Creator platform / JV</t>
  </si>
  <si>
    <t xml:space="preserve">S</t>
  </si>
  <si>
    <t xml:space="preserve">≈US$10B at FX 90. Below SSI (~US$32B, pre-product). Requires broad adoption as infrastructure layer.</t>
  </si>
  <si>
    <t xml:space="preserve">S2 IP / platform sale or exclusive licence to Co-Creator</t>
  </si>
  <si>
    <t xml:space="preserve">≈US$3.3B. Same order as Google–Character.AI licence (~US$2.7B, press-reported).</t>
  </si>
  <si>
    <t xml:space="preserve">S3 Partial: non-exclusive licence + team/IP transfer</t>
  </si>
  <si>
    <t xml:space="preserve">≈US$0.67B. Same order as Microsoft–Inflection (~US$0.65B, press-reported). Pref protects capital.</t>
  </si>
  <si>
    <t xml:space="preserve">S4 Stops after Gate 3 not met (T4 never released)</t>
  </si>
  <si>
    <t xml:space="preserve">F</t>
  </si>
  <si>
    <t xml:space="preserve">Wind-down / IP salvage; unspent cash + IP residual.</t>
  </si>
  <si>
    <t xml:space="preserve">S5 Stops at Gate 2 (T3 never released)</t>
  </si>
  <si>
    <t xml:space="preserve">Fails to convert pilots/Co-Creator interest.</t>
  </si>
  <si>
    <t xml:space="preserve">S6 Stops at Gate 1 (T2 never released)</t>
  </si>
  <si>
    <t xml:space="preserve">Reference implementation or validation fails.</t>
  </si>
  <si>
    <t xml:space="preserve">Probability total</t>
  </si>
  <si>
    <t xml:space="preserve">Probabilities are illustrative judgement (state: ASSUMED). They are NOT derived from the Frozen Core.</t>
  </si>
  <si>
    <t xml:space="preserve">Round Structure &amp; Cap Table</t>
  </si>
  <si>
    <t xml:space="preserve">Pre/post ownership uses placeholder pre-round holdings (Inputs). Syndicate tickets are illustrative inputs.</t>
  </si>
  <si>
    <t xml:space="preserve">Holder</t>
  </si>
  <si>
    <t xml:space="preserve">Pre-round %</t>
  </si>
  <si>
    <t xml:space="preserve">Post-round %</t>
  </si>
  <si>
    <t xml:space="preserve">Value at post-money (₹ Cr)</t>
  </si>
  <si>
    <t xml:space="preserve">Founders</t>
  </si>
  <si>
    <t xml:space="preserve">ESOP pool</t>
  </si>
  <si>
    <t xml:space="preserve">Other holders</t>
  </si>
  <si>
    <t xml:space="preserve">Round 1 investors (new)</t>
  </si>
  <si>
    <t xml:space="preserve">Total</t>
  </si>
  <si>
    <t xml:space="preserve">Illustrative syndicate (₹180 Cr cannot come from angels alone)</t>
  </si>
  <si>
    <t xml:space="preserve">Investor class</t>
  </si>
  <si>
    <t xml:space="preserve">Ticket (₹ Cr)</t>
  </si>
  <si>
    <t xml:space="preserve">T1 (₹ Cr)</t>
  </si>
  <si>
    <t xml:space="preserve">T2</t>
  </si>
  <si>
    <t xml:space="preserve">T3</t>
  </si>
  <si>
    <t xml:space="preserve">Note</t>
  </si>
  <si>
    <t xml:space="preserve">Lead investor (family office / strategic / Cat II AIF)</t>
  </si>
  <si>
    <t xml:space="preserve">Sets terms; takes board seat.</t>
  </si>
  <si>
    <t xml:space="preserve">Anchor 1 (UHNI / family office)</t>
  </si>
  <si>
    <t xml:space="preserve">Anchor 2 (UHNI / family office)</t>
  </si>
  <si>
    <t xml:space="preserve">Anchor 3 (strategic / corporate)</t>
  </si>
  <si>
    <t xml:space="preserve">Family-office &amp; UHNI pool</t>
  </si>
  <si>
    <t xml:space="preserve">Private placement ≤200 persons per FY — confirm with counsel.</t>
  </si>
  <si>
    <t xml:space="preserve">Angel funds / accredited-investor syndicate</t>
  </si>
  <si>
    <t xml:space="preserve">SEBI angel-fund cap per startup applies per fund (Inputs!B21).</t>
  </si>
  <si>
    <t xml:space="preserve">Max a single angel fund can write (₹ Cr)</t>
  </si>
  <si>
    <t xml:space="preserve">⇒ A lead + anchors are structurally required; angel funds fill the tail.</t>
  </si>
  <si>
    <t xml:space="preserve">…as % of the round</t>
  </si>
  <si>
    <t xml:space="preserve">Note: T4 column omitted for width; T4 = Ticket × Inputs!B26.</t>
  </si>
  <si>
    <t xml:space="preserve">Utilisation of Round 1 Funds</t>
  </si>
  <si>
    <t xml:space="preserve">Programme lines are linked from Burn_Plan; reserve is the balance after founder allocation.</t>
  </si>
  <si>
    <t xml:space="preserve">Category</t>
  </si>
  <si>
    <t xml:space="preserve">What it buys / investor-visible output</t>
  </si>
  <si>
    <t xml:space="preserve">People — research, platform, trust, product, pilots, ops</t>
  </si>
  <si>
    <t xml:space="preserve">Core team that builds the reference implementation of Portable Cognitive Identity and the Continuity Handshake; headcount in Burn_Plan.</t>
  </si>
  <si>
    <t xml:space="preserve">Compute</t>
  </si>
  <si>
    <t xml:space="preserve">Training/fine-tuning/evaluation experiments across model families (model-agnostic by Canon design).</t>
  </si>
  <si>
    <t xml:space="preserve">Model API &amp; evaluation</t>
  </si>
  <si>
    <t xml:space="preserve">Cross-model testing so portability is demonstrated, not claimed.</t>
  </si>
  <si>
    <t xml:space="preserve">Independent validation, SAB &amp; red-team</t>
  </si>
  <si>
    <t xml:space="preserve">Third-party proof of Interpretive Calibration; Scientific Advisory Board; Truthiness audit. Releases T2.</t>
  </si>
  <si>
    <t xml:space="preserve">Security, privacy &amp; trust certification</t>
  </si>
  <si>
    <t xml:space="preserve">ISO 27001-class certification, pen-tests, key management; consent/permission map built to India DPDP Act 2023 principles (counsel to confirm).</t>
  </si>
  <si>
    <t xml:space="preserve">IP &amp; standards</t>
  </si>
  <si>
    <t xml:space="preserve">Patents, trademarks, open specification and standards-body participation; protects the exit asset.</t>
  </si>
  <si>
    <t xml:space="preserve">Pilots &amp; design partners</t>
  </si>
  <si>
    <t xml:space="preserve">Enterprise / government / device pilots; converts thesis into paid evidence. Releases T3.</t>
  </si>
  <si>
    <t xml:space="preserve">Co-Creator search &amp; transaction advisory</t>
  </si>
  <si>
    <t xml:space="preserve">Banker / advisory, data-room, legal for the Stage 2 process. Releases T4.</t>
  </si>
  <si>
    <t xml:space="preserve">Governance, legal &amp; audit</t>
  </si>
  <si>
    <t xml:space="preserve">Board, statutory audit, investor reporting, escrow and compliance.</t>
  </si>
  <si>
    <t xml:space="preserve">Facilities &amp; tooling</t>
  </si>
  <si>
    <t xml:space="preserve">Office, security tooling, developer infrastructure.</t>
  </si>
  <si>
    <t xml:space="preserve">Frontier research option (incl. quantum exploration)</t>
  </si>
  <si>
    <t xml:space="preserve">Small option on long-horizon work toward the Super Intellect horizon; state UNCERTAIN, not required for Stages 1–2.</t>
  </si>
  <si>
    <t xml:space="preserve">Founder allocation (TBD)</t>
  </si>
  <si>
    <t xml:space="preserve">Placeholder pending founder input; recommend capped and disclosed to investors.</t>
  </si>
  <si>
    <t xml:space="preserve">Contingency reserve (balance)</t>
  </si>
  <si>
    <t xml:space="preserve">Held for slippage, extension of runway, or Gate 3 transaction costs. Must be ≥ policy floor (Inputs!B15).</t>
  </si>
  <si>
    <t xml:space="preserve">TOTAL</t>
  </si>
  <si>
    <t xml:space="preserve">Each tranche funds a defined stage window (spend between releases)</t>
  </si>
  <si>
    <t xml:space="preserve">Window</t>
  </si>
  <si>
    <t xml:space="preserve">Tranche received (₹ Cr)</t>
  </si>
  <si>
    <t xml:space="preserve">Spend in window (₹ Cr)</t>
  </si>
  <si>
    <t xml:space="preserve">Surplus / (shortfall)</t>
  </si>
  <si>
    <t xml:space="preserve">Window = from this release quarter until the next. Surpluses carry forward as buffer.</t>
  </si>
  <si>
    <t xml:space="preserve">Quarterly Burn Plan — 16 quarters (4 years)</t>
  </si>
  <si>
    <t xml:space="preserve">Proposed ramp (ASSUMED). Replace headcount and cost rows with the real plan. Cost per head in column B is loaded annual ₹ lakh.</t>
  </si>
  <si>
    <t xml:space="preserve">Line item</t>
  </si>
  <si>
    <t xml:space="preserve">Loaded cost / rate</t>
  </si>
  <si>
    <t xml:space="preserve">Plan year</t>
  </si>
  <si>
    <t xml:space="preserve">Headcount (end of quarter)</t>
  </si>
  <si>
    <t xml:space="preserve">Principal investigators / fellows</t>
  </si>
  <si>
    <t xml:space="preserve">Research scientists (interpretation, epistemics, learning)</t>
  </si>
  <si>
    <t xml:space="preserve">Platform &amp; ML engineers</t>
  </si>
  <si>
    <t xml:space="preserve">Security, privacy &amp; trust engineers</t>
  </si>
  <si>
    <t xml:space="preserve">Product &amp; design</t>
  </si>
  <si>
    <t xml:space="preserve">Enterprise pilots &amp; solutions</t>
  </si>
  <si>
    <t xml:space="preserve">Ops, legal &amp; finance</t>
  </si>
  <si>
    <t xml:space="preserve">Total headcount</t>
  </si>
  <si>
    <t xml:space="preserve">People cost (₹ Cr) = headcount × annual ₹ lakh ÷ 4 ÷ 100</t>
  </si>
  <si>
    <t xml:space="preserve">People total</t>
  </si>
  <si>
    <t xml:space="preserve">GPU-hours (thousand)</t>
  </si>
  <si>
    <t xml:space="preserve">Compute cost (₹ Cr)</t>
  </si>
  <si>
    <t xml:space="preserve">Other programme costs (₹ Cr)</t>
  </si>
  <si>
    <t xml:space="preserve">Model API &amp; evaluation (multi-model)</t>
  </si>
  <si>
    <t xml:space="preserve">IP &amp; standards (patents, spec, standards bodies)</t>
  </si>
  <si>
    <t xml:space="preserve">Pilots &amp; design partners (integration, travel, infra)</t>
  </si>
  <si>
    <t xml:space="preserve">TOTAL PROGRAMME SPEND (₹ Cr)</t>
  </si>
  <si>
    <t xml:space="preserve">Cash from the round only (excludes any revenue)</t>
  </si>
  <si>
    <t xml:space="preserve">Opening cash</t>
  </si>
  <si>
    <t xml:space="preserve">Closing cash</t>
  </si>
  <si>
    <t xml:space="preserve">Cumulative spend</t>
  </si>
  <si>
    <t xml:space="preserve">Stage Plan — Company cash view (annual)</t>
  </si>
  <si>
    <t xml:space="preserve">Three stages per founder roadmap. Revenue / other inflows are ASSUMED and are NOT used in investor-return calcs (Returns sheet).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</si>
  <si>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</si>
  <si>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</si>
  <si>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</si>
  <si>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</si>
  <si>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</si>
  <si>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</si>
  <si>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Stage</t>
  </si>
  <si>
    <t xml:space="preserve">1: Monetise concept (3%)</t>
  </si>
  <si>
    <t xml:space="preserve">1→2</t>
  </si>
  <si>
    <t xml:space="preserve">2: Find Co-Creator</t>
  </si>
  <si>
    <t xml:space="preserve">2→3</t>
  </si>
  <si>
    <t xml:space="preserve">3: Build / Exit</t>
  </si>
  <si>
    <t xml:space="preserve">Plan year index</t>
  </si>
  <si>
    <t xml:space="preserve">Inflows</t>
  </si>
  <si>
    <t xml:space="preserve">Round 1 tranches received</t>
  </si>
  <si>
    <t xml:space="preserve">Pilot / design-partner / licence revenue (ASSUMED)</t>
  </si>
  <si>
    <t xml:space="preserve">Illustrative: pilots × fee. State: ASSUMED until LOIs exist.</t>
  </si>
  <si>
    <t xml:space="preserve">Government / research grants (ASSUMED)</t>
  </si>
  <si>
    <t xml:space="preserve">Illustrative.</t>
  </si>
  <si>
    <t xml:space="preserve">Co-Creator exclusivity / option fee (ASSUMED)</t>
  </si>
  <si>
    <t xml:space="preserve">Illustrative; part of Stage 2 negotiation.</t>
  </si>
  <si>
    <t xml:space="preserve">Co-Creator cost-share of joint build (ASSUMED)</t>
  </si>
  <si>
    <t xml:space="preserve">Stage 3 only.</t>
  </si>
  <si>
    <t xml:space="preserve">Total inflows</t>
  </si>
  <si>
    <t xml:space="preserve">Outflows</t>
  </si>
  <si>
    <t xml:space="preserve">Programme spend (from Burn_Plan, Y1–Y4)</t>
  </si>
  <si>
    <t xml:space="preserve">Stage 3 company operating cost (Y5–Y6, ASSUMED)</t>
  </si>
  <si>
    <t xml:space="preserve">Company share of Stage 3 run-rate.</t>
  </si>
  <si>
    <t xml:space="preserve">Total outflows</t>
  </si>
  <si>
    <t xml:space="preserve">Net cash flow</t>
  </si>
  <si>
    <t xml:space="preserve">Closing cash (incl. assumed inflows)</t>
  </si>
  <si>
    <t xml:space="preserve">Closing cash — round only (no revenue)</t>
  </si>
  <si>
    <t xml:space="preserve">Round-only cash ignores all assumed revenue; Y5–Y6 shows what Co-Creator cost-share / revenue must cover.</t>
  </si>
  <si>
    <t xml:space="preserve">Investor Returns — scenario-weighted</t>
  </si>
  <si>
    <t xml:space="preserve">Proceeds follow a 1x non-participating liquidation preference (max of preference and as-converted). IRR is a single-cash-flow approximation: MOIC^(1/hold years) − 1.</t>
  </si>
  <si>
    <t xml:space="preserve">Type</t>
  </si>
  <si>
    <t xml:space="preserve">Prob.</t>
  </si>
  <si>
    <t xml:space="preserve">Invested (₹ Cr)</t>
  </si>
  <si>
    <t xml:space="preserve">Own. at deploy</t>
  </si>
  <si>
    <t xml:space="preserve">Own. at exit</t>
  </si>
  <si>
    <t xml:space="preserve">Equity value (₹ Cr)</t>
  </si>
  <si>
    <t xml:space="preserve">As-converted (₹ Cr)</t>
  </si>
  <si>
    <t xml:space="preserve">Preference (₹ Cr)</t>
  </si>
  <si>
    <t xml:space="preserve">Proceeds (₹ Cr)</t>
  </si>
  <si>
    <t xml:space="preserve">MOIC</t>
  </si>
  <si>
    <t xml:space="preserve">Hold (yrs)</t>
  </si>
  <si>
    <t xml:space="preserve">IRR ≈</t>
  </si>
  <si>
    <t xml:space="preserve">Prob × proceeds</t>
  </si>
  <si>
    <t xml:space="preserve">Prob × invested</t>
  </si>
  <si>
    <t xml:space="preserve">PV proceeds</t>
  </si>
  <si>
    <t xml:space="preserve">PV invested</t>
  </si>
  <si>
    <t xml:space="preserve">Prob × PV proc.</t>
  </si>
  <si>
    <t xml:space="preserve">Prob × PV inv.</t>
  </si>
  <si>
    <t xml:space="preserve">Probability-weighted totals</t>
  </si>
  <si>
    <t xml:space="preserve">Headline outputs</t>
  </si>
  <si>
    <t xml:space="preserve">Best-case MOIC (S1)</t>
  </si>
  <si>
    <t xml:space="preserve">Expected proceeds (₹ Cr, prob-weighted)</t>
  </si>
  <si>
    <t xml:space="preserve">Expected capital deployed (₹ Cr, prob-weighted)</t>
  </si>
  <si>
    <t xml:space="preserve">Expected MOIC = E[proceeds] ÷ E[invested]</t>
  </si>
  <si>
    <t xml:space="preserve">Expected MOIC &gt; 1.0x means the price is supportable on the stated odds; investors will substitute their own.</t>
  </si>
  <si>
    <t xml:space="preserve">Hurdle-adjusted profitability index (PV proceeds ÷ PV invested)</t>
  </si>
  <si>
    <t xml:space="preserve">Probability of ≥ 1.0x (capital returned)</t>
  </si>
  <si>
    <t xml:space="preserve">Probability of ≥ 3.0x</t>
  </si>
  <si>
    <t xml:space="preserve">Probability of ≥ 10.0x</t>
  </si>
  <si>
    <t xml:space="preserve">Probability of capital loss (&lt; 1.0x)</t>
  </si>
  <si>
    <t xml:space="preserve">Maximum capital at risk if Gate 1 fails (₹ Cr)</t>
  </si>
  <si>
    <t xml:space="preserve">What exit value is needed? (equity value ₹ Cr for full ₹180 Cr invested, by target MOIC and additional dilution before exit)</t>
  </si>
  <si>
    <t xml:space="preserve">Target MOIC</t>
  </si>
  <si>
    <t xml:space="preserve">Dil. 0%</t>
  </si>
  <si>
    <t xml:space="preserve">Dil. 15%</t>
  </si>
  <si>
    <t xml:space="preserve">Dil. 30%</t>
  </si>
  <si>
    <t xml:space="preserve">Dil. 45%</t>
  </si>
  <si>
    <t xml:space="preserve">Additional dilution before exit →</t>
  </si>
  <si>
    <t xml:space="preserve">Same, in US$ billion</t>
  </si>
  <si>
    <t xml:space="preserve">Sensitivity — how the answer changes with the post-money price (proceeds ₹ Cr by scenario; same odds)</t>
  </si>
  <si>
    <t xml:space="preserve">Post-money (₹ Cr) →</t>
  </si>
  <si>
    <t xml:space="preserve">Expected MOIC</t>
  </si>
  <si>
    <t xml:space="preserve">Hurdle-adjusted profitability index</t>
  </si>
  <si>
    <t xml:space="preserve">Reading: a lower entry price raises the expected multiple; the stage-gates and 1x preference are what let the investor accept a high headline valuation.</t>
  </si>
  <si>
    <t xml:space="preserve">What you must believe — scale the success odds (S-type scenarios) and see the investor view at the headline price</t>
  </si>
  <si>
    <t xml:space="preserve">Success-odds multiplier m →</t>
  </si>
  <si>
    <t xml:space="preserve">Total success probability</t>
  </si>
  <si>
    <t xml:space="preserve">Failure-side scale (keeps total at 100%)</t>
  </si>
  <si>
    <t xml:space="preserve">Reading: the column where the index crosses 1.00x is the success probability an investor must hold for the headline price to clear their hurdle. Base-case odds are illustrative placeholders.</t>
  </si>
  <si>
    <t xml:space="preserve">Valuation Credibility — four lenses</t>
  </si>
  <si>
    <t xml:space="preserve">Comparables are press-reported (confidence noted), not company-confirmed. Re-verify before sharing externally.</t>
  </si>
  <si>
    <t xml:space="preserve">Lens 1 — Market precedents (AI)</t>
  </si>
  <si>
    <t xml:space="preserve">Reference</t>
  </si>
  <si>
    <t xml:space="preserve">US$ bn</t>
  </si>
  <si>
    <t xml:space="preserve">Date</t>
  </si>
  <si>
    <t xml:space="preserve">Our post-money ÷ ref.</t>
  </si>
  <si>
    <t xml:space="preserve">Confidence</t>
  </si>
  <si>
    <t xml:space="preserve">Source</t>
  </si>
  <si>
    <t xml:space="preserve">Safe Superintelligence (SSI)</t>
  </si>
  <si>
    <t xml:space="preserve">Pre-product valuation</t>
  </si>
  <si>
    <t xml:space="preserve">Apr 2025</t>
  </si>
  <si>
    <t xml:space="preserve">Medium-High</t>
  </si>
  <si>
    <t xml:space="preserve">https://www.maginative.com/article/sutskevers-safe-superintelligence-raises-another-2b-at-32b-valuation//</t>
  </si>
  <si>
    <t xml:space="preserve">Sarvam AI (India sovereign LLM)</t>
  </si>
  <si>
    <t xml:space="preserve">Series B valuation</t>
  </si>
  <si>
    <t xml:space="preserve">Jun 2026</t>
  </si>
  <si>
    <t xml:space="preserve">Medium</t>
  </si>
  <si>
    <t xml:space="preserve">https://www.exchange4media.com/industry-briefing-news/sarvam-raises-234m-in-first-close-of-300m-series-b-at-15b-valuation-155498.html</t>
  </si>
  <si>
    <t xml:space="preserve">Microsoft–Inflection</t>
  </si>
  <si>
    <t xml:space="preserve">Licence + hire</t>
  </si>
  <si>
    <t xml:space="preserve">Mar 2024</t>
  </si>
  <si>
    <t xml:space="preserve">https://www.implicator.ai/nvidias-20-billion-groq-deal-perfects-silicon-valleys-favorite-antitrust-dodge/</t>
  </si>
  <si>
    <t xml:space="preserve">Google–Character.AI</t>
  </si>
  <si>
    <t xml:space="preserve">Aug 2024</t>
  </si>
  <si>
    <t xml:space="preserve">Nvidia–Groq</t>
  </si>
  <si>
    <t xml:space="preserve">Dec 2025</t>
  </si>
  <si>
    <t xml:space="preserve">Meta–Scale AI</t>
  </si>
  <si>
    <t xml:space="preserve">Investment + hire (stake)</t>
  </si>
  <si>
    <t xml:space="preserve">2025</t>
  </si>
  <si>
    <t xml:space="preserve">Indian peer set note: identity/continuity-layer and AI-memory comparables not yet sourced — add before external use.</t>
  </si>
  <si>
    <t xml:space="preserve">Scenario values vs the nearest precedent</t>
  </si>
  <si>
    <t xml:space="preserve">Nearest precedent</t>
  </si>
  <si>
    <t xml:space="preserve">Scenario ÷ precedent</t>
  </si>
  <si>
    <t xml:space="preserve">Lens 2 — Expected value at the investor’s own hurdle (from Returns)</t>
  </si>
  <si>
    <t xml:space="preserve">Hurdle-adjusted profitability index (&gt;1.0x supports the price)</t>
  </si>
  <si>
    <t xml:space="preserve">Probability capital is returned (≥1.0x)</t>
  </si>
  <si>
    <t xml:space="preserve">Best-case MOIC</t>
  </si>
  <si>
    <t xml:space="preserve">Lens 3 — Structure earns the price: capital at risk by stage gate</t>
  </si>
  <si>
    <t xml:space="preserve">If the venture stops at…</t>
  </si>
  <si>
    <t xml:space="preserve">Capital deployed (₹ Cr)</t>
  </si>
  <si>
    <t xml:space="preserve">Recovery %</t>
  </si>
  <si>
    <t xml:space="preserve">Recovered (₹ Cr)</t>
  </si>
  <si>
    <t xml:space="preserve">Net loss (₹ Cr)</t>
  </si>
  <si>
    <t xml:space="preserve">% of round lost</t>
  </si>
  <si>
    <t xml:space="preserve">Gate 1 (after T1)</t>
  </si>
  <si>
    <t xml:space="preserve">Gate 2 (after T2)</t>
  </si>
  <si>
    <t xml:space="preserve">Gate 3 (after T3)</t>
  </si>
  <si>
    <t xml:space="preserve">Without tranching, a failure at Gate 1 would put the full round at risk; with tranching only T1 is.</t>
  </si>
  <si>
    <t xml:space="preserve">Lens 4 — Unit economics of the ticket</t>
  </si>
  <si>
    <t xml:space="preserve">Price of 1% (₹ Cr)</t>
  </si>
  <si>
    <t xml:space="preserve">Post-money (US$ mn)</t>
  </si>
  <si>
    <t xml:space="preserve">Round (US$ mn)</t>
  </si>
  <si>
    <t xml:space="preserve">Round as % of Sarvam AI valuation (round ÷ ref.)</t>
  </si>
  <si>
    <t xml:space="preserve">Post-money as % of Sarvam AI valuation</t>
  </si>
  <si>
    <t xml:space="preserve">Narrative use: post-money is a fraction of India’s leading sovereign-AI peer, priced as a milestone-gated option on a new infrastructure layer — not as a revenue multiple.</t>
  </si>
  <si>
    <t xml:space="preserve">Truthiness Ledger — claims calibrated per the Canon</t>
  </si>
  <si>
    <t xml:space="preserve">States below are PROPOSED by the model author for founder confirmation. Canon test: Evidence · Interpretation · Limit · Counter-Lens · Falsifier · Update.</t>
  </si>
  <si>
    <t xml:space="preserve">#</t>
  </si>
  <si>
    <t xml:space="preserve">Claim made to investors</t>
  </si>
  <si>
    <t xml:space="preserve">Proposed state</t>
  </si>
  <si>
    <t xml:space="preserve">Evidence today / basis</t>
  </si>
  <si>
    <t xml:space="preserve">Limit (what cannot yet be seen)</t>
  </si>
  <si>
    <t xml:space="preserve">Strongest counter-lens</t>
  </si>
  <si>
    <t xml:space="preserve">Falsifier (what would prove us wrong)</t>
  </si>
  <si>
    <t xml:space="preserve">Resolved by</t>
  </si>
  <si>
    <t xml:space="preserve">AI is making capability (knowledge, language, reasoning, execution) abundant; advantage shifts toward judgment and continuity.</t>
  </si>
  <si>
    <t xml:space="preserve">Widely observed model commoditisation (Canon Act I).</t>
  </si>
  <si>
    <t xml:space="preserve">Whether buyers will pay for a continuity layer rather than get it free from model vendors.</t>
  </si>
  <si>
    <t xml:space="preserve">Model vendors bundle memory/identity for free and lock it in.</t>
  </si>
  <si>
    <t xml:space="preserve">Pilots show no willingness to pay for portability/governance.</t>
  </si>
  <si>
    <t xml:space="preserve">Gate 2</t>
  </si>
  <si>
    <t xml:space="preserve">Models, sessions and vendors reset: users and enterprises lack governed, portable cognitive continuity.</t>
  </si>
  <si>
    <t xml:space="preserve">Canon Act V; to be validated by customer interviews.</t>
  </si>
  <si>
    <t xml:space="preserve">Degree of pain across segments.</t>
  </si>
  <si>
    <t xml:space="preserve">Vendor-native memory is "good enough".</t>
  </si>
  <si>
    <t xml:space="preserve">Design partners decline to pilot.</t>
  </si>
  <si>
    <t xml:space="preserve">Gate 1–2</t>
  </si>
  <si>
    <t xml:space="preserve">Portable Cognitive Identity can be specified as a structured, permissioned, evolvable representation (8 layers) independent of any model.</t>
  </si>
  <si>
    <t xml:space="preserve">Canon slides 65–74 define it; no reference implementation shown in the extract.</t>
  </si>
  <si>
    <t xml:space="preserve">Technical feasibility at quality across model families.</t>
  </si>
  <si>
    <t xml:space="preserve">Representation is too lossy or model-specific to travel.</t>
  </si>
  <si>
    <t xml:space="preserve">Handshake fails to preserve judgment across ≥3 model families.</t>
  </si>
  <si>
    <t xml:space="preserve">Gate 1</t>
  </si>
  <si>
    <t xml:space="preserve">Interpretive Calibration (separating fact from inference, matching confidence to resolution) improves outcomes vs baseline.</t>
  </si>
  <si>
    <t xml:space="preserve">Conceptual (Canon slide 52).</t>
  </si>
  <si>
    <t xml:space="preserve">No benchmark yet.</t>
  </si>
  <si>
    <t xml:space="preserve">Gains vanish against strong prompting / RAG baselines.</t>
  </si>
  <si>
    <t xml:space="preserve">Independent benchmark shows no significant lift.</t>
  </si>
  <si>
    <t xml:space="preserve">Enterprises / governments will pay for governed continuity and permissioned portability.</t>
  </si>
  <si>
    <t xml:space="preserve">None yet.</t>
  </si>
  <si>
    <t xml:space="preserve">Willingness to pay, procurement cycle.</t>
  </si>
  <si>
    <t xml:space="preserve">Treated as a feature, not a product.</t>
  </si>
  <si>
    <t xml:space="preserve">No paid pilots by Gate 2.</t>
  </si>
  <si>
    <t xml:space="preserve">Privacy and data-portability regulation (e.g. India DPDP Act 2023 and Rules) favours permissioned, revocable, user-owned continuity.</t>
  </si>
  <si>
    <t xml:space="preserve">Statute exists; fit to X design to be confirmed by counsel.</t>
  </si>
  <si>
    <t xml:space="preserve">Final Rules, enforcement, cross-border effects.</t>
  </si>
  <si>
    <t xml:space="preserve">Compliance burden favours incumbents.</t>
  </si>
  <si>
    <t xml:space="preserve">Counsel finds design conflicts with obligations.</t>
  </si>
  <si>
    <t xml:space="preserve">Gate 1 (legal opinion)</t>
  </si>
  <si>
    <t xml:space="preserve">A Co-Creator (frontier lab, hyperscaler, device OEM or sovereign programme) will co-build or acquire.</t>
  </si>
  <si>
    <t xml:space="preserve">UNCERTAIN</t>
  </si>
  <si>
    <t xml:space="preserve">Licence-and-hire precedents exist (press-reported).</t>
  </si>
  <si>
    <t xml:space="preserve">No counterparty engaged.</t>
  </si>
  <si>
    <t xml:space="preserve">Co-creators build in-house.</t>
  </si>
  <si>
    <t xml:space="preserve">No LOI by Gate 2.</t>
  </si>
  <si>
    <t xml:space="preserve">Gate 2–3</t>
  </si>
  <si>
    <t xml:space="preserve">₹6,000 Cr post-money is supportable for Round 1.</t>
  </si>
  <si>
    <t xml:space="preserve">DISPUTED</t>
  </si>
  <si>
    <t xml:space="preserve">Comparables are far larger companies with products or revenue; value rests on option logic and structure.</t>
  </si>
  <si>
    <t xml:space="preserve">Investor’s own probabilities.</t>
  </si>
  <si>
    <t xml:space="preserve">Pre-revenue; market may price at a fraction.</t>
  </si>
  <si>
    <t xml:space="preserve">Syndicate fails to form at this price even with tranching and preference.</t>
  </si>
  <si>
    <t xml:space="preserve">Round close</t>
  </si>
  <si>
    <t xml:space="preserve">The long-horizon "Super Intellect" outcome (systems that examine their own frame) is reachable with a Co-Creator.</t>
  </si>
  <si>
    <t xml:space="preserve">Canon: Intellect governs capability (slides 41–46).</t>
  </si>
  <si>
    <t xml:space="preserve">Technical path undefined.</t>
  </si>
  <si>
    <t xml:space="preserve">Remains a concept for a decade.</t>
  </si>
  <si>
    <t xml:space="preserve">No measurable progress on self-frame-examination by Gate 3.</t>
  </si>
  <si>
    <t xml:space="preserve">Stage 3</t>
  </si>
  <si>
    <t xml:space="preserve">Quantum computing makes intellect "dynamic" and accelerates the path.</t>
  </si>
  <si>
    <t xml:space="preserve">Not in the Canon extract.</t>
  </si>
  <si>
    <t xml:space="preserve">No evidence connecting it to Stages 1–2.</t>
  </si>
  <si>
    <t xml:space="preserve">Irrelevant to near-term product.</t>
  </si>
  <si>
    <t xml:space="preserve">No identified quantum-dependent milestone by Gate 2.</t>
  </si>
  <si>
    <t xml:space="preserve">Stage 3 option only</t>
  </si>
  <si>
    <t xml:space="preserve">IP is defensible through specification, patents and standards position.</t>
  </si>
  <si>
    <t xml:space="preserve">No filings referenced.</t>
  </si>
  <si>
    <t xml:space="preserve">Freedom-to-operate, prior art.</t>
  </si>
  <si>
    <t xml:space="preserve">Concept-level claims are hard to patent.</t>
  </si>
  <si>
    <t xml:space="preserve">Patent search shows prior art covering core claims.</t>
  </si>
  <si>
    <t xml:space="preserve">The team can execute the plan within ₹180 Cr.</t>
  </si>
  <si>
    <t xml:space="preserve">Plan proposed in Burn_Plan.</t>
  </si>
  <si>
    <t xml:space="preserve">Hiring, retention.</t>
  </si>
  <si>
    <t xml:space="preserve">Talent cost inflation.</t>
  </si>
  <si>
    <t xml:space="preserve">Hiring plan misses by &gt;1 quarter at Gate 1.</t>
  </si>
  <si>
    <t xml:space="preserve">Model Integrity Checks</t>
  </si>
  <si>
    <t xml:space="preserve">All rows must read OK before sharing.</t>
  </si>
  <si>
    <t xml:space="preserve">Check</t>
  </si>
  <si>
    <t xml:space="preserve">Status</t>
  </si>
  <si>
    <t xml:space="preserve">Pre-money + round = post-money</t>
  </si>
  <si>
    <t xml:space="preserve">Tranche percentages sum to 100%</t>
  </si>
  <si>
    <t xml:space="preserve">Scenario probabilities sum to 100%</t>
  </si>
  <si>
    <t xml:space="preserve">Syndicate tickets equal round size</t>
  </si>
  <si>
    <t xml:space="preserve">Pre-round ownership sums to 100%</t>
  </si>
  <si>
    <t xml:space="preserve">Post-round ownership sums to 100%</t>
  </si>
  <si>
    <t xml:space="preserve">Use of funds total equals round size</t>
  </si>
  <si>
    <t xml:space="preserve">Reserve ≥ policy floor</t>
  </si>
  <si>
    <t xml:space="preserve">Cash from round never negative (min closing cash, ₹ Cr)</t>
  </si>
  <si>
    <t xml:space="preserve">Year-1 spend funded by T1 (T1 − Y1 spend, ₹ Cr)</t>
  </si>
  <si>
    <t xml:space="preserve">Closing cash Q16 equals reserve less founder allocation (diff)</t>
  </si>
  <si>
    <t xml:space="preserve">Cumulative spend reconciles to Use_of_Funds programme lines (diff)</t>
  </si>
  <si>
    <t xml:space="preserve">OVERALL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</si>
</sst>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"/>
    <numFmt numFmtId="166" formatCode="#,##0;\(#,##0\);\-"/>
    <numFmt numFmtId="167" formatCode="0.0%;\(0.0%\);\-"/>
    <numFmt numFmtId="168" formatCode="#,##0.0;\(#,##0.0\);\-"/>
    <numFmt numFmtId="169" formatCode="0"/>
    <numFmt numFmtId="170" formatCode="0.0"/>
    <numFmt numFmtId="171" formatCode="0.0\x"/>
    <numFmt numFmtId="172" formatCode="\Q0"/>
    <numFmt numFmtId="173" formatCode="0&quot; L/yr&quot;"/>
    <numFmt numFmtId="174" formatCode="0&quot; ₹/hr&quot;"/>
    <numFmt numFmtId="175" formatCode="#,##0"/>
    <numFmt numFmtId="176" formatCode="0.00%"/>
    <numFmt numFmtId="177" formatCode="0.0\x;\(0.0&quot;x)&quot;;\-"/>
    <numFmt numFmtId="178" formatCode="0.00\x"/>
    <numFmt numFmtId="179" formatCode="0\x"/>
    <numFmt numFmtId="180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3B4A6B"/>
        <bgColor rgb="FF595959"/>
      </patternFill>
    </fill>
    <fill>
      <patternFill patternType="solid">
        <fgColor rgb="FFD9DEE9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D9DE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B4A6B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3" customFormat="false" ht="48" hidden="false" customHeight="true" outlineLevel="0" collapsed="false">
      <c r="A3" s="3" t="s">
        <v>1</v>
      </c>
      <c r="B3" s="4" t="s">
        <v>2</v>
      </c>
    </row>
    <row r="4" customFormat="false" ht="48" hidden="false" customHeight="true" outlineLevel="0" collapsed="false">
      <c r="A4" s="3" t="s">
        <v>3</v>
      </c>
      <c r="B4" s="4" t="s">
        <v>4</v>
      </c>
    </row>
    <row r="5" customFormat="false" ht="48" hidden="false" customHeight="true" outlineLevel="0" collapsed="false">
      <c r="A5" s="3" t="s">
        <v>5</v>
      </c>
      <c r="B5" s="4" t="s">
        <v>6</v>
      </c>
    </row>
    <row r="6" customFormat="false" ht="48" hidden="false" customHeight="true" outlineLevel="0" collapsed="false">
      <c r="A6" s="3" t="s">
        <v>7</v>
      </c>
      <c r="B6" s="4" t="s">
        <v>8</v>
      </c>
    </row>
    <row r="7" customFormat="false" ht="48" hidden="false" customHeight="true" outlineLevel="0" collapsed="false">
      <c r="A7" s="3" t="s">
        <v>9</v>
      </c>
      <c r="B7" s="4" t="s">
        <v>10</v>
      </c>
    </row>
    <row r="8" customFormat="false" ht="48" hidden="false" customHeight="true" outlineLevel="0" collapsed="false">
      <c r="A8" s="3" t="s">
        <v>11</v>
      </c>
      <c r="B8" s="4" t="s">
        <v>12</v>
      </c>
    </row>
    <row r="9" customFormat="false" ht="48" hidden="false" customHeight="true" outlineLevel="0" collapsed="false">
      <c r="A9" s="3" t="s">
        <v>13</v>
      </c>
      <c r="B9" s="4" t="s">
        <v>14</v>
      </c>
    </row>
    <row r="10" customFormat="false" ht="48" hidden="false" customHeight="true" outlineLevel="0" collapsed="false">
      <c r="A10" s="3" t="s">
        <v>15</v>
      </c>
      <c r="B1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12"/>
    <col collapsed="false" customWidth="true" hidden="false" outlineLevel="0" max="7" min="7" style="0" width="56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5" t="s">
        <v>18</v>
      </c>
    </row>
    <row r="4" customFormat="false" ht="15" hidden="false" customHeight="false" outlineLevel="0" collapsed="false">
      <c r="A4" s="6" t="s">
        <v>19</v>
      </c>
      <c r="B4" s="6" t="s">
        <v>20</v>
      </c>
      <c r="C4" s="6" t="s">
        <v>13</v>
      </c>
      <c r="D4" s="6" t="s">
        <v>21</v>
      </c>
      <c r="E4" s="6" t="s">
        <v>22</v>
      </c>
    </row>
    <row r="5" customFormat="false" ht="15" hidden="false" customHeight="false" outlineLevel="0" collapsed="false">
      <c r="A5" s="7" t="s">
        <v>23</v>
      </c>
      <c r="B5" s="8"/>
      <c r="C5" s="8"/>
      <c r="D5" s="8"/>
      <c r="E5" s="8"/>
    </row>
    <row r="6" customFormat="false" ht="15" hidden="false" customHeight="false" outlineLevel="0" collapsed="false">
      <c r="A6" s="9" t="s">
        <v>24</v>
      </c>
      <c r="B6" s="10" t="n">
        <v>90</v>
      </c>
      <c r="C6" s="9" t="s">
        <v>25</v>
      </c>
      <c r="D6" s="9" t="s">
        <v>26</v>
      </c>
      <c r="E6" s="5" t="s">
        <v>27</v>
      </c>
    </row>
    <row r="7" customFormat="false" ht="15" hidden="false" customHeight="false" outlineLevel="0" collapsed="false">
      <c r="A7" s="9" t="s">
        <v>28</v>
      </c>
      <c r="B7" s="11" t="n">
        <v>6000</v>
      </c>
      <c r="C7" s="9" t="s">
        <v>29</v>
      </c>
      <c r="D7" s="9" t="s">
        <v>30</v>
      </c>
      <c r="E7" s="5" t="s">
        <v>31</v>
      </c>
    </row>
    <row r="8" customFormat="false" ht="15" hidden="false" customHeight="false" outlineLevel="0" collapsed="false">
      <c r="A8" s="9" t="s">
        <v>32</v>
      </c>
      <c r="B8" s="11" t="n">
        <v>180</v>
      </c>
      <c r="C8" s="9" t="s">
        <v>29</v>
      </c>
      <c r="D8" s="9" t="s">
        <v>30</v>
      </c>
      <c r="E8" s="5" t="s">
        <v>33</v>
      </c>
    </row>
    <row r="9" customFormat="false" ht="15" hidden="false" customHeight="false" outlineLevel="0" collapsed="false">
      <c r="A9" s="9" t="s">
        <v>34</v>
      </c>
      <c r="B9" s="12" t="n">
        <f aca="false">B7-B8</f>
        <v>5820</v>
      </c>
      <c r="C9" s="9" t="s">
        <v>29</v>
      </c>
      <c r="E9" s="5" t="s">
        <v>35</v>
      </c>
    </row>
    <row r="10" customFormat="false" ht="15" hidden="false" customHeight="false" outlineLevel="0" collapsed="false">
      <c r="A10" s="9" t="s">
        <v>36</v>
      </c>
      <c r="B10" s="13" t="n">
        <f aca="false">SUMPRODUCT(E23:E26/I23:I26)</f>
        <v>0.03</v>
      </c>
      <c r="C10" s="9" t="s">
        <v>37</v>
      </c>
      <c r="E10" s="5" t="s">
        <v>38</v>
      </c>
    </row>
    <row r="11" customFormat="false" ht="15" hidden="false" customHeight="false" outlineLevel="0" collapsed="false">
      <c r="A11" s="9" t="s">
        <v>39</v>
      </c>
      <c r="B11" s="14" t="n">
        <f aca="false">B7/100</f>
        <v>60</v>
      </c>
      <c r="C11" s="9" t="s">
        <v>29</v>
      </c>
    </row>
    <row r="12" customFormat="false" ht="15" hidden="false" customHeight="false" outlineLevel="0" collapsed="false">
      <c r="A12" s="9" t="s">
        <v>40</v>
      </c>
      <c r="B12" s="14" t="n">
        <f aca="false">B7*10/B6</f>
        <v>666.666666666667</v>
      </c>
      <c r="C12" s="9" t="s">
        <v>41</v>
      </c>
      <c r="E12" s="5" t="s">
        <v>42</v>
      </c>
    </row>
    <row r="13" customFormat="false" ht="15" hidden="false" customHeight="false" outlineLevel="0" collapsed="false">
      <c r="A13" s="9" t="s">
        <v>43</v>
      </c>
      <c r="B13" s="14" t="n">
        <f aca="false">B8*10/B6</f>
        <v>20</v>
      </c>
      <c r="C13" s="9" t="s">
        <v>41</v>
      </c>
    </row>
    <row r="14" customFormat="false" ht="15" hidden="false" customHeight="false" outlineLevel="0" collapsed="false">
      <c r="A14" s="9" t="s">
        <v>44</v>
      </c>
      <c r="B14" s="15" t="n">
        <v>0.3</v>
      </c>
      <c r="C14" s="9" t="s">
        <v>45</v>
      </c>
      <c r="D14" s="9" t="s">
        <v>26</v>
      </c>
      <c r="E14" s="5" t="s">
        <v>46</v>
      </c>
    </row>
    <row r="15" customFormat="false" ht="15" hidden="false" customHeight="false" outlineLevel="0" collapsed="false">
      <c r="A15" s="9" t="s">
        <v>47</v>
      </c>
      <c r="B15" s="16" t="n">
        <v>0.1</v>
      </c>
      <c r="C15" s="9" t="s">
        <v>48</v>
      </c>
      <c r="D15" s="9" t="s">
        <v>26</v>
      </c>
      <c r="E15" s="5" t="s">
        <v>49</v>
      </c>
    </row>
    <row r="16" customFormat="false" ht="15" hidden="false" customHeight="false" outlineLevel="0" collapsed="false">
      <c r="A16" s="9" t="s">
        <v>50</v>
      </c>
      <c r="B16" s="11" t="n">
        <v>100</v>
      </c>
      <c r="C16" s="9" t="s">
        <v>51</v>
      </c>
      <c r="D16" s="9" t="s">
        <v>26</v>
      </c>
      <c r="E16" s="5" t="s">
        <v>52</v>
      </c>
    </row>
    <row r="17" customFormat="false" ht="15" hidden="false" customHeight="false" outlineLevel="0" collapsed="false">
      <c r="A17" s="9" t="s">
        <v>53</v>
      </c>
      <c r="B17" s="17" t="n">
        <v>0</v>
      </c>
      <c r="C17" s="9" t="s">
        <v>29</v>
      </c>
      <c r="D17" s="9" t="s">
        <v>54</v>
      </c>
      <c r="E17" s="5" t="s">
        <v>55</v>
      </c>
    </row>
    <row r="18" customFormat="false" ht="15" hidden="false" customHeight="false" outlineLevel="0" collapsed="false">
      <c r="A18" s="9" t="s">
        <v>56</v>
      </c>
      <c r="B18" s="16" t="n">
        <v>0.85</v>
      </c>
      <c r="C18" s="9" t="s">
        <v>37</v>
      </c>
      <c r="D18" s="9" t="s">
        <v>54</v>
      </c>
      <c r="E18" s="5" t="s">
        <v>57</v>
      </c>
    </row>
    <row r="19" customFormat="false" ht="15" hidden="false" customHeight="false" outlineLevel="0" collapsed="false">
      <c r="A19" s="9" t="s">
        <v>58</v>
      </c>
      <c r="B19" s="16" t="n">
        <v>0.1</v>
      </c>
      <c r="C19" s="9" t="s">
        <v>37</v>
      </c>
      <c r="D19" s="9" t="s">
        <v>54</v>
      </c>
      <c r="E19" s="5" t="s">
        <v>59</v>
      </c>
    </row>
    <row r="20" customFormat="false" ht="15" hidden="false" customHeight="false" outlineLevel="0" collapsed="false">
      <c r="A20" s="9" t="s">
        <v>60</v>
      </c>
      <c r="B20" s="16" t="n">
        <v>0.05</v>
      </c>
      <c r="C20" s="9" t="s">
        <v>37</v>
      </c>
      <c r="D20" s="9" t="s">
        <v>54</v>
      </c>
      <c r="E20" s="5" t="s">
        <v>59</v>
      </c>
    </row>
    <row r="21" customFormat="false" ht="15" hidden="false" customHeight="false" outlineLevel="0" collapsed="false">
      <c r="A21" s="9" t="s">
        <v>61</v>
      </c>
      <c r="B21" s="18" t="n">
        <v>25</v>
      </c>
      <c r="C21" s="9" t="s">
        <v>29</v>
      </c>
      <c r="D21" s="9" t="s">
        <v>62</v>
      </c>
      <c r="E21" s="5" t="s">
        <v>63</v>
      </c>
    </row>
    <row r="22" customFormat="false" ht="35.05" hidden="false" customHeight="false" outlineLevel="0" collapsed="false">
      <c r="A22" s="6" t="s">
        <v>64</v>
      </c>
      <c r="B22" s="6" t="s">
        <v>48</v>
      </c>
      <c r="C22" s="6" t="s">
        <v>65</v>
      </c>
      <c r="D22" s="6" t="s">
        <v>66</v>
      </c>
      <c r="E22" s="6" t="s">
        <v>67</v>
      </c>
      <c r="F22" s="6" t="s">
        <v>68</v>
      </c>
      <c r="G22" s="6" t="s">
        <v>69</v>
      </c>
      <c r="H22" s="6" t="s">
        <v>70</v>
      </c>
      <c r="I22" s="6" t="s">
        <v>71</v>
      </c>
      <c r="J22" s="8"/>
    </row>
    <row r="23" customFormat="false" ht="39.75" hidden="false" customHeight="true" outlineLevel="0" collapsed="false">
      <c r="A23" s="9" t="s">
        <v>72</v>
      </c>
      <c r="B23" s="16" t="n">
        <v>0.25</v>
      </c>
      <c r="C23" s="19" t="n">
        <v>1</v>
      </c>
      <c r="D23" s="20" t="n">
        <f aca="false">(C23-1)/4</f>
        <v>0</v>
      </c>
      <c r="E23" s="14" t="n">
        <f aca="false">B23*$B$8</f>
        <v>45</v>
      </c>
      <c r="F23" s="14" t="n">
        <f aca="false">SUM($E$23:E23)</f>
        <v>45</v>
      </c>
      <c r="G23" s="21" t="s">
        <v>73</v>
      </c>
      <c r="H23" s="22" t="n">
        <v>1</v>
      </c>
      <c r="I23" s="12" t="n">
        <f aca="false">$B$7</f>
        <v>6000</v>
      </c>
      <c r="J23" s="21" t="s">
        <v>74</v>
      </c>
    </row>
    <row r="24" customFormat="false" ht="39.75" hidden="false" customHeight="true" outlineLevel="0" collapsed="false">
      <c r="A24" s="9" t="s">
        <v>75</v>
      </c>
      <c r="B24" s="16" t="n">
        <v>0.25</v>
      </c>
      <c r="C24" s="19" t="n">
        <v>5</v>
      </c>
      <c r="D24" s="20" t="n">
        <f aca="false">(C24-1)/4</f>
        <v>1</v>
      </c>
      <c r="E24" s="14" t="n">
        <f aca="false">B24*$B$8</f>
        <v>45</v>
      </c>
      <c r="F24" s="14" t="n">
        <f aca="false">SUM($E$23:E24)</f>
        <v>90</v>
      </c>
      <c r="G24" s="21" t="s">
        <v>76</v>
      </c>
      <c r="H24" s="22" t="n">
        <v>2</v>
      </c>
      <c r="I24" s="12" t="n">
        <f aca="false">$B$7</f>
        <v>6000</v>
      </c>
    </row>
    <row r="25" customFormat="false" ht="39.75" hidden="false" customHeight="true" outlineLevel="0" collapsed="false">
      <c r="A25" s="9" t="s">
        <v>77</v>
      </c>
      <c r="B25" s="16" t="n">
        <v>0.25</v>
      </c>
      <c r="C25" s="19" t="n">
        <v>9</v>
      </c>
      <c r="D25" s="20" t="n">
        <f aca="false">(C25-1)/4</f>
        <v>2</v>
      </c>
      <c r="E25" s="14" t="n">
        <f aca="false">B25*$B$8</f>
        <v>45</v>
      </c>
      <c r="F25" s="14" t="n">
        <f aca="false">SUM($E$23:E25)</f>
        <v>135</v>
      </c>
      <c r="G25" s="21" t="s">
        <v>78</v>
      </c>
      <c r="H25" s="22" t="n">
        <v>3</v>
      </c>
      <c r="I25" s="12" t="n">
        <f aca="false">$B$7</f>
        <v>6000</v>
      </c>
    </row>
    <row r="26" customFormat="false" ht="39.75" hidden="false" customHeight="true" outlineLevel="0" collapsed="false">
      <c r="A26" s="9" t="s">
        <v>79</v>
      </c>
      <c r="B26" s="16" t="n">
        <v>0.25</v>
      </c>
      <c r="C26" s="19" t="n">
        <v>13</v>
      </c>
      <c r="D26" s="20" t="n">
        <f aca="false">(C26-1)/4</f>
        <v>3</v>
      </c>
      <c r="E26" s="14" t="n">
        <f aca="false">B26*$B$8</f>
        <v>45</v>
      </c>
      <c r="F26" s="14" t="n">
        <f aca="false">SUM($E$23:E26)</f>
        <v>180</v>
      </c>
      <c r="G26" s="21" t="s">
        <v>80</v>
      </c>
      <c r="H26" s="22" t="n">
        <v>4</v>
      </c>
      <c r="I26" s="12" t="n">
        <f aca="false">$B$7</f>
        <v>6000</v>
      </c>
    </row>
    <row r="27" customFormat="false" ht="15" hidden="false" customHeight="false" outlineLevel="0" collapsed="false">
      <c r="A27" s="23" t="s">
        <v>81</v>
      </c>
      <c r="B27" s="24" t="n">
        <f aca="false">SUM(B23:B26)</f>
        <v>1</v>
      </c>
      <c r="E27" s="25" t="n">
        <f aca="false">SUM(E23:E26)</f>
        <v>180</v>
      </c>
    </row>
    <row r="29" customFormat="false" ht="35.05" hidden="false" customHeight="false" outlineLevel="0" collapsed="false">
      <c r="A29" s="6" t="s">
        <v>82</v>
      </c>
      <c r="B29" s="6" t="s">
        <v>83</v>
      </c>
      <c r="C29" s="6" t="s">
        <v>84</v>
      </c>
      <c r="D29" s="6" t="s">
        <v>85</v>
      </c>
      <c r="E29" s="6" t="s">
        <v>86</v>
      </c>
      <c r="F29" s="6" t="s">
        <v>87</v>
      </c>
      <c r="G29" s="6" t="s">
        <v>88</v>
      </c>
      <c r="H29" s="6" t="s">
        <v>89</v>
      </c>
      <c r="I29" s="6" t="s">
        <v>90</v>
      </c>
      <c r="J29" s="6" t="s">
        <v>91</v>
      </c>
    </row>
    <row r="30" customFormat="false" ht="39.75" hidden="false" customHeight="true" outlineLevel="0" collapsed="false">
      <c r="A30" s="4" t="s">
        <v>92</v>
      </c>
      <c r="B30" s="26" t="s">
        <v>93</v>
      </c>
      <c r="C30" s="15" t="n">
        <v>0.05</v>
      </c>
      <c r="D30" s="11" t="n">
        <v>90000</v>
      </c>
      <c r="E30" s="16" t="n">
        <v>0.3</v>
      </c>
      <c r="F30" s="19" t="n">
        <v>4</v>
      </c>
      <c r="G30" s="27" t="n">
        <v>6</v>
      </c>
      <c r="H30" s="28" t="n">
        <v>1</v>
      </c>
      <c r="I30" s="16" t="n">
        <v>0</v>
      </c>
      <c r="J30" s="21" t="s">
        <v>94</v>
      </c>
    </row>
    <row r="31" customFormat="false" ht="39.75" hidden="false" customHeight="true" outlineLevel="0" collapsed="false">
      <c r="A31" s="4" t="s">
        <v>95</v>
      </c>
      <c r="B31" s="26" t="s">
        <v>93</v>
      </c>
      <c r="C31" s="15" t="n">
        <v>0.1</v>
      </c>
      <c r="D31" s="11" t="n">
        <v>30000</v>
      </c>
      <c r="E31" s="16" t="n">
        <v>0.15</v>
      </c>
      <c r="F31" s="19" t="n">
        <v>4</v>
      </c>
      <c r="G31" s="27" t="n">
        <v>5</v>
      </c>
      <c r="H31" s="28" t="n">
        <v>1</v>
      </c>
      <c r="I31" s="16" t="n">
        <v>0</v>
      </c>
      <c r="J31" s="21" t="s">
        <v>96</v>
      </c>
    </row>
    <row r="32" customFormat="false" ht="39.75" hidden="false" customHeight="true" outlineLevel="0" collapsed="false">
      <c r="A32" s="4" t="s">
        <v>97</v>
      </c>
      <c r="B32" s="26" t="s">
        <v>93</v>
      </c>
      <c r="C32" s="15" t="n">
        <v>0.15</v>
      </c>
      <c r="D32" s="11" t="n">
        <v>6000</v>
      </c>
      <c r="E32" s="16" t="n">
        <v>0.1</v>
      </c>
      <c r="F32" s="19" t="n">
        <v>4</v>
      </c>
      <c r="G32" s="27" t="n">
        <v>4</v>
      </c>
      <c r="H32" s="28" t="n">
        <v>1</v>
      </c>
      <c r="I32" s="16" t="n">
        <v>0</v>
      </c>
      <c r="J32" s="21" t="s">
        <v>98</v>
      </c>
    </row>
    <row r="33" customFormat="false" ht="39.75" hidden="false" customHeight="true" outlineLevel="0" collapsed="false">
      <c r="A33" s="4" t="s">
        <v>99</v>
      </c>
      <c r="B33" s="26" t="s">
        <v>100</v>
      </c>
      <c r="C33" s="15" t="n">
        <v>0.1</v>
      </c>
      <c r="D33" s="11" t="n">
        <v>0</v>
      </c>
      <c r="E33" s="16" t="n">
        <v>0</v>
      </c>
      <c r="F33" s="19" t="n">
        <v>3</v>
      </c>
      <c r="G33" s="27" t="n">
        <v>3</v>
      </c>
      <c r="H33" s="28" t="n">
        <v>1</v>
      </c>
      <c r="I33" s="16" t="n">
        <v>0.2</v>
      </c>
      <c r="J33" s="21" t="s">
        <v>101</v>
      </c>
    </row>
    <row r="34" customFormat="false" ht="39.75" hidden="false" customHeight="true" outlineLevel="0" collapsed="false">
      <c r="A34" s="4" t="s">
        <v>102</v>
      </c>
      <c r="B34" s="26" t="s">
        <v>100</v>
      </c>
      <c r="C34" s="15" t="n">
        <v>0.25</v>
      </c>
      <c r="D34" s="11" t="n">
        <v>0</v>
      </c>
      <c r="E34" s="16" t="n">
        <v>0</v>
      </c>
      <c r="F34" s="19" t="n">
        <v>2</v>
      </c>
      <c r="G34" s="27" t="n">
        <v>2</v>
      </c>
      <c r="H34" s="28" t="n">
        <v>1</v>
      </c>
      <c r="I34" s="16" t="n">
        <v>0.25</v>
      </c>
      <c r="J34" s="21" t="s">
        <v>103</v>
      </c>
    </row>
    <row r="35" customFormat="false" ht="39.75" hidden="false" customHeight="true" outlineLevel="0" collapsed="false">
      <c r="A35" s="4" t="s">
        <v>104</v>
      </c>
      <c r="B35" s="26" t="s">
        <v>100</v>
      </c>
      <c r="C35" s="15" t="n">
        <v>0.35</v>
      </c>
      <c r="D35" s="11" t="n">
        <v>0</v>
      </c>
      <c r="E35" s="16" t="n">
        <v>0</v>
      </c>
      <c r="F35" s="19" t="n">
        <v>1</v>
      </c>
      <c r="G35" s="27" t="n">
        <v>1</v>
      </c>
      <c r="H35" s="28" t="n">
        <v>1</v>
      </c>
      <c r="I35" s="16" t="n">
        <v>0.3</v>
      </c>
      <c r="J35" s="21" t="s">
        <v>105</v>
      </c>
    </row>
    <row r="36" customFormat="false" ht="15" hidden="false" customHeight="false" outlineLevel="0" collapsed="false">
      <c r="A36" s="23" t="s">
        <v>106</v>
      </c>
      <c r="C36" s="24" t="n">
        <f aca="false">SUM(C30:C35)</f>
        <v>1</v>
      </c>
    </row>
    <row r="37" customFormat="false" ht="15" hidden="false" customHeight="false" outlineLevel="0" collapsed="false">
      <c r="A37" s="5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108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5" t="s">
        <v>109</v>
      </c>
    </row>
    <row r="4" customFormat="false" ht="23.85" hidden="false" customHeight="false" outlineLevel="0" collapsed="false">
      <c r="A4" s="6" t="s">
        <v>110</v>
      </c>
      <c r="B4" s="6" t="s">
        <v>111</v>
      </c>
      <c r="C4" s="6" t="s">
        <v>112</v>
      </c>
      <c r="D4" s="6" t="s">
        <v>113</v>
      </c>
    </row>
    <row r="5" customFormat="false" ht="15" hidden="false" customHeight="false" outlineLevel="0" collapsed="false">
      <c r="A5" s="9" t="s">
        <v>114</v>
      </c>
      <c r="B5" s="29" t="n">
        <f aca="false">Inputs!B18</f>
        <v>0.85</v>
      </c>
      <c r="C5" s="13" t="n">
        <f aca="false">B5*(1-Inputs!$B$10)</f>
        <v>0.8245</v>
      </c>
      <c r="D5" s="12" t="n">
        <f aca="false">C5*Inputs!$B$7</f>
        <v>4947</v>
      </c>
    </row>
    <row r="6" customFormat="false" ht="15" hidden="false" customHeight="false" outlineLevel="0" collapsed="false">
      <c r="A6" s="9" t="s">
        <v>115</v>
      </c>
      <c r="B6" s="29" t="n">
        <f aca="false">Inputs!B19</f>
        <v>0.1</v>
      </c>
      <c r="C6" s="13" t="n">
        <f aca="false">B6*(1-Inputs!$B$10)</f>
        <v>0.097</v>
      </c>
      <c r="D6" s="12" t="n">
        <f aca="false">C6*Inputs!$B$7</f>
        <v>582</v>
      </c>
    </row>
    <row r="7" customFormat="false" ht="15" hidden="false" customHeight="false" outlineLevel="0" collapsed="false">
      <c r="A7" s="9" t="s">
        <v>116</v>
      </c>
      <c r="B7" s="29" t="n">
        <f aca="false">Inputs!B20</f>
        <v>0.05</v>
      </c>
      <c r="C7" s="13" t="n">
        <f aca="false">B7*(1-Inputs!$B$10)</f>
        <v>0.0485</v>
      </c>
      <c r="D7" s="12" t="n">
        <f aca="false">C7*Inputs!$B$7</f>
        <v>291</v>
      </c>
    </row>
    <row r="8" customFormat="false" ht="15" hidden="false" customHeight="false" outlineLevel="0" collapsed="false">
      <c r="A8" s="9" t="s">
        <v>117</v>
      </c>
      <c r="B8" s="13" t="n">
        <v>0</v>
      </c>
      <c r="C8" s="29" t="n">
        <f aca="false">Inputs!B10</f>
        <v>0.03</v>
      </c>
      <c r="D8" s="12" t="n">
        <f aca="false">C8*Inputs!$B$7</f>
        <v>180</v>
      </c>
    </row>
    <row r="9" customFormat="false" ht="15" hidden="false" customHeight="false" outlineLevel="0" collapsed="false">
      <c r="A9" s="23" t="s">
        <v>118</v>
      </c>
      <c r="B9" s="24" t="n">
        <f aca="false">SUM(B5:B8)</f>
        <v>1</v>
      </c>
      <c r="C9" s="24" t="n">
        <f aca="false">SUM(C5:C8)</f>
        <v>1</v>
      </c>
      <c r="D9" s="12" t="n">
        <f aca="false">C9*Inputs!$B$7</f>
        <v>6000</v>
      </c>
    </row>
    <row r="11" customFormat="false" ht="15" hidden="false" customHeight="false" outlineLevel="0" collapsed="false">
      <c r="A11" s="7" t="s">
        <v>119</v>
      </c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6" t="s">
        <v>120</v>
      </c>
      <c r="B12" s="6" t="s">
        <v>121</v>
      </c>
      <c r="C12" s="6" t="s">
        <v>112</v>
      </c>
      <c r="D12" s="6" t="s">
        <v>122</v>
      </c>
      <c r="E12" s="6" t="s">
        <v>123</v>
      </c>
      <c r="F12" s="6" t="s">
        <v>124</v>
      </c>
      <c r="G12" s="6" t="s">
        <v>125</v>
      </c>
    </row>
    <row r="13" customFormat="false" ht="15" hidden="false" customHeight="false" outlineLevel="0" collapsed="false">
      <c r="A13" s="9" t="s">
        <v>126</v>
      </c>
      <c r="B13" s="17" t="n">
        <v>60</v>
      </c>
      <c r="C13" s="13" t="n">
        <f aca="false">B13/Inputs!$B$7</f>
        <v>0.01</v>
      </c>
      <c r="D13" s="14" t="n">
        <f aca="false">$B13*Inputs!$B$23</f>
        <v>15</v>
      </c>
      <c r="E13" s="14" t="n">
        <f aca="false">$B13*Inputs!$B$24</f>
        <v>15</v>
      </c>
      <c r="F13" s="14" t="n">
        <f aca="false">$B13*Inputs!$B$25</f>
        <v>15</v>
      </c>
      <c r="G13" s="5" t="s">
        <v>127</v>
      </c>
    </row>
    <row r="14" customFormat="false" ht="15" hidden="false" customHeight="false" outlineLevel="0" collapsed="false">
      <c r="A14" s="9" t="s">
        <v>128</v>
      </c>
      <c r="B14" s="17" t="n">
        <v>25</v>
      </c>
      <c r="C14" s="13" t="n">
        <f aca="false">B14/Inputs!$B$7</f>
        <v>0.00416666666666667</v>
      </c>
      <c r="D14" s="14" t="n">
        <f aca="false">$B14*Inputs!$B$23</f>
        <v>6.25</v>
      </c>
      <c r="E14" s="14" t="n">
        <f aca="false">$B14*Inputs!$B$24</f>
        <v>6.25</v>
      </c>
      <c r="F14" s="14" t="n">
        <f aca="false">$B14*Inputs!$B$25</f>
        <v>6.25</v>
      </c>
      <c r="G14" s="5"/>
    </row>
    <row r="15" customFormat="false" ht="15" hidden="false" customHeight="false" outlineLevel="0" collapsed="false">
      <c r="A15" s="9" t="s">
        <v>129</v>
      </c>
      <c r="B15" s="17" t="n">
        <v>25</v>
      </c>
      <c r="C15" s="13" t="n">
        <f aca="false">B15/Inputs!$B$7</f>
        <v>0.00416666666666667</v>
      </c>
      <c r="D15" s="14" t="n">
        <f aca="false">$B15*Inputs!$B$23</f>
        <v>6.25</v>
      </c>
      <c r="E15" s="14" t="n">
        <f aca="false">$B15*Inputs!$B$24</f>
        <v>6.25</v>
      </c>
      <c r="F15" s="14" t="n">
        <f aca="false">$B15*Inputs!$B$25</f>
        <v>6.25</v>
      </c>
      <c r="G15" s="5"/>
    </row>
    <row r="16" customFormat="false" ht="15" hidden="false" customHeight="false" outlineLevel="0" collapsed="false">
      <c r="A16" s="9" t="s">
        <v>130</v>
      </c>
      <c r="B16" s="17" t="n">
        <v>20</v>
      </c>
      <c r="C16" s="13" t="n">
        <f aca="false">B16/Inputs!$B$7</f>
        <v>0.00333333333333333</v>
      </c>
      <c r="D16" s="14" t="n">
        <f aca="false">$B16*Inputs!$B$23</f>
        <v>5</v>
      </c>
      <c r="E16" s="14" t="n">
        <f aca="false">$B16*Inputs!$B$24</f>
        <v>5</v>
      </c>
      <c r="F16" s="14" t="n">
        <f aca="false">$B16*Inputs!$B$25</f>
        <v>5</v>
      </c>
      <c r="G16" s="5"/>
    </row>
    <row r="17" customFormat="false" ht="15" hidden="false" customHeight="false" outlineLevel="0" collapsed="false">
      <c r="A17" s="9" t="s">
        <v>131</v>
      </c>
      <c r="B17" s="17" t="n">
        <v>30</v>
      </c>
      <c r="C17" s="13" t="n">
        <f aca="false">B17/Inputs!$B$7</f>
        <v>0.005</v>
      </c>
      <c r="D17" s="14" t="n">
        <f aca="false">$B17*Inputs!$B$23</f>
        <v>7.5</v>
      </c>
      <c r="E17" s="14" t="n">
        <f aca="false">$B17*Inputs!$B$24</f>
        <v>7.5</v>
      </c>
      <c r="F17" s="14" t="n">
        <f aca="false">$B17*Inputs!$B$25</f>
        <v>7.5</v>
      </c>
      <c r="G17" s="5" t="s">
        <v>132</v>
      </c>
    </row>
    <row r="18" customFormat="false" ht="15" hidden="false" customHeight="false" outlineLevel="0" collapsed="false">
      <c r="A18" s="9" t="s">
        <v>133</v>
      </c>
      <c r="B18" s="17" t="n">
        <v>20</v>
      </c>
      <c r="C18" s="13" t="n">
        <f aca="false">B18/Inputs!$B$7</f>
        <v>0.00333333333333333</v>
      </c>
      <c r="D18" s="14" t="n">
        <f aca="false">$B18*Inputs!$B$23</f>
        <v>5</v>
      </c>
      <c r="E18" s="14" t="n">
        <f aca="false">$B18*Inputs!$B$24</f>
        <v>5</v>
      </c>
      <c r="F18" s="14" t="n">
        <f aca="false">$B18*Inputs!$B$25</f>
        <v>5</v>
      </c>
      <c r="G18" s="5" t="s">
        <v>134</v>
      </c>
    </row>
    <row r="19" customFormat="false" ht="15" hidden="false" customHeight="false" outlineLevel="0" collapsed="false">
      <c r="A19" s="23" t="s">
        <v>118</v>
      </c>
      <c r="B19" s="25" t="n">
        <f aca="false">SUM(B13:B18)</f>
        <v>180</v>
      </c>
      <c r="C19" s="24" t="n">
        <f aca="false">SUM(C13:C18)</f>
        <v>0.03</v>
      </c>
      <c r="D19" s="25" t="n">
        <f aca="false">SUM(D13:D18)</f>
        <v>45</v>
      </c>
      <c r="E19" s="25" t="n">
        <f aca="false">SUM(E13:E18)</f>
        <v>45</v>
      </c>
      <c r="F19" s="25" t="n">
        <f aca="false">SUM(F13:F18)</f>
        <v>45</v>
      </c>
    </row>
    <row r="21" customFormat="false" ht="15" hidden="false" customHeight="false" outlineLevel="0" collapsed="false">
      <c r="A21" s="9" t="s">
        <v>135</v>
      </c>
      <c r="B21" s="30" t="n">
        <f aca="false">Inputs!B21</f>
        <v>25</v>
      </c>
      <c r="G21" s="5" t="s">
        <v>136</v>
      </c>
    </row>
    <row r="22" customFormat="false" ht="15" hidden="false" customHeight="false" outlineLevel="0" collapsed="false">
      <c r="A22" s="9" t="s">
        <v>137</v>
      </c>
      <c r="B22" s="13" t="n">
        <f aca="false">B21/Inputs!B8</f>
        <v>0.138888888888889</v>
      </c>
    </row>
    <row r="24" customFormat="false" ht="15" hidden="false" customHeight="false" outlineLevel="0" collapsed="false">
      <c r="A24" s="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139</v>
      </c>
      <c r="B1" s="2"/>
      <c r="C1" s="2"/>
      <c r="D1" s="2"/>
      <c r="E1" s="2"/>
    </row>
    <row r="2" customFormat="false" ht="15" hidden="false" customHeight="false" outlineLevel="0" collapsed="false">
      <c r="A2" s="5" t="s">
        <v>140</v>
      </c>
    </row>
    <row r="4" customFormat="false" ht="15" hidden="false" customHeight="false" outlineLevel="0" collapsed="false">
      <c r="A4" s="6" t="s">
        <v>141</v>
      </c>
      <c r="B4" s="6" t="s">
        <v>29</v>
      </c>
      <c r="C4" s="6" t="s">
        <v>48</v>
      </c>
      <c r="D4" s="6" t="s">
        <v>41</v>
      </c>
      <c r="E4" s="6" t="s">
        <v>142</v>
      </c>
    </row>
    <row r="5" customFormat="false" ht="30" hidden="false" customHeight="true" outlineLevel="0" collapsed="false">
      <c r="A5" s="9" t="s">
        <v>143</v>
      </c>
      <c r="B5" s="31" t="n">
        <f aca="false">Burn_Plan!S24</f>
        <v>82.685</v>
      </c>
      <c r="C5" s="13" t="n">
        <f aca="false">B5/Inputs!$B$8</f>
        <v>0.459361111111111</v>
      </c>
      <c r="D5" s="14" t="n">
        <f aca="false">B5*10/Inputs!$B$6</f>
        <v>9.18722222222222</v>
      </c>
      <c r="E5" s="21" t="s">
        <v>144</v>
      </c>
    </row>
    <row r="6" customFormat="false" ht="30" hidden="false" customHeight="true" outlineLevel="0" collapsed="false">
      <c r="A6" s="9" t="s">
        <v>145</v>
      </c>
      <c r="B6" s="31" t="n">
        <f aca="false">Burn_Plan!S28</f>
        <v>12.4</v>
      </c>
      <c r="C6" s="13" t="n">
        <f aca="false">B6/Inputs!$B$8</f>
        <v>0.0688888888888889</v>
      </c>
      <c r="D6" s="14" t="n">
        <f aca="false">B6*10/Inputs!$B$6</f>
        <v>1.37777777777778</v>
      </c>
      <c r="E6" s="21" t="s">
        <v>146</v>
      </c>
    </row>
    <row r="7" customFormat="false" ht="30" hidden="false" customHeight="true" outlineLevel="0" collapsed="false">
      <c r="A7" s="9" t="s">
        <v>147</v>
      </c>
      <c r="B7" s="31" t="n">
        <f aca="false">Burn_Plan!S31</f>
        <v>6.2</v>
      </c>
      <c r="C7" s="13" t="n">
        <f aca="false">B7/Inputs!$B$8</f>
        <v>0.0344444444444444</v>
      </c>
      <c r="D7" s="14" t="n">
        <f aca="false">B7*10/Inputs!$B$6</f>
        <v>0.688888888888889</v>
      </c>
      <c r="E7" s="21" t="s">
        <v>148</v>
      </c>
    </row>
    <row r="8" customFormat="false" ht="30" hidden="false" customHeight="true" outlineLevel="0" collapsed="false">
      <c r="A8" s="9" t="s">
        <v>149</v>
      </c>
      <c r="B8" s="31" t="n">
        <f aca="false">Burn_Plan!S32</f>
        <v>8.5</v>
      </c>
      <c r="C8" s="13" t="n">
        <f aca="false">B8/Inputs!$B$8</f>
        <v>0.0472222222222222</v>
      </c>
      <c r="D8" s="14" t="n">
        <f aca="false">B8*10/Inputs!$B$6</f>
        <v>0.944444444444444</v>
      </c>
      <c r="E8" s="21" t="s">
        <v>150</v>
      </c>
    </row>
    <row r="9" customFormat="false" ht="30" hidden="false" customHeight="true" outlineLevel="0" collapsed="false">
      <c r="A9" s="9" t="s">
        <v>151</v>
      </c>
      <c r="B9" s="31" t="n">
        <f aca="false">Burn_Plan!S33</f>
        <v>9.1</v>
      </c>
      <c r="C9" s="13" t="n">
        <f aca="false">B9/Inputs!$B$8</f>
        <v>0.0505555555555556</v>
      </c>
      <c r="D9" s="14" t="n">
        <f aca="false">B9*10/Inputs!$B$6</f>
        <v>1.01111111111111</v>
      </c>
      <c r="E9" s="21" t="s">
        <v>152</v>
      </c>
    </row>
    <row r="10" customFormat="false" ht="30" hidden="false" customHeight="true" outlineLevel="0" collapsed="false">
      <c r="A10" s="9" t="s">
        <v>153</v>
      </c>
      <c r="B10" s="31" t="n">
        <f aca="false">Burn_Plan!S34</f>
        <v>6.5</v>
      </c>
      <c r="C10" s="13" t="n">
        <f aca="false">B10/Inputs!$B$8</f>
        <v>0.0361111111111111</v>
      </c>
      <c r="D10" s="14" t="n">
        <f aca="false">B10*10/Inputs!$B$6</f>
        <v>0.722222222222222</v>
      </c>
      <c r="E10" s="21" t="s">
        <v>154</v>
      </c>
    </row>
    <row r="11" customFormat="false" ht="30" hidden="false" customHeight="true" outlineLevel="0" collapsed="false">
      <c r="A11" s="9" t="s">
        <v>155</v>
      </c>
      <c r="B11" s="31" t="n">
        <f aca="false">Burn_Plan!S35</f>
        <v>14.7</v>
      </c>
      <c r="C11" s="13" t="n">
        <f aca="false">B11/Inputs!$B$8</f>
        <v>0.0816666666666667</v>
      </c>
      <c r="D11" s="14" t="n">
        <f aca="false">B11*10/Inputs!$B$6</f>
        <v>1.63333333333333</v>
      </c>
      <c r="E11" s="21" t="s">
        <v>156</v>
      </c>
    </row>
    <row r="12" customFormat="false" ht="30" hidden="false" customHeight="true" outlineLevel="0" collapsed="false">
      <c r="A12" s="9" t="s">
        <v>157</v>
      </c>
      <c r="B12" s="31" t="n">
        <f aca="false">Burn_Plan!S36</f>
        <v>7.1</v>
      </c>
      <c r="C12" s="13" t="n">
        <f aca="false">B12/Inputs!$B$8</f>
        <v>0.0394444444444444</v>
      </c>
      <c r="D12" s="14" t="n">
        <f aca="false">B12*10/Inputs!$B$6</f>
        <v>0.788888888888889</v>
      </c>
      <c r="E12" s="21" t="s">
        <v>158</v>
      </c>
    </row>
    <row r="13" customFormat="false" ht="30" hidden="false" customHeight="true" outlineLevel="0" collapsed="false">
      <c r="A13" s="9" t="s">
        <v>159</v>
      </c>
      <c r="B13" s="31" t="n">
        <f aca="false">Burn_Plan!S37</f>
        <v>3.2</v>
      </c>
      <c r="C13" s="13" t="n">
        <f aca="false">B13/Inputs!$B$8</f>
        <v>0.0177777777777778</v>
      </c>
      <c r="D13" s="14" t="n">
        <f aca="false">B13*10/Inputs!$B$6</f>
        <v>0.355555555555556</v>
      </c>
      <c r="E13" s="21" t="s">
        <v>160</v>
      </c>
    </row>
    <row r="14" customFormat="false" ht="30" hidden="false" customHeight="true" outlineLevel="0" collapsed="false">
      <c r="A14" s="9" t="s">
        <v>161</v>
      </c>
      <c r="B14" s="31" t="n">
        <f aca="false">Burn_Plan!S38</f>
        <v>6.85</v>
      </c>
      <c r="C14" s="13" t="n">
        <f aca="false">B14/Inputs!$B$8</f>
        <v>0.0380555555555556</v>
      </c>
      <c r="D14" s="14" t="n">
        <f aca="false">B14*10/Inputs!$B$6</f>
        <v>0.761111111111111</v>
      </c>
      <c r="E14" s="21" t="s">
        <v>162</v>
      </c>
    </row>
    <row r="15" customFormat="false" ht="30" hidden="false" customHeight="true" outlineLevel="0" collapsed="false">
      <c r="A15" s="9" t="s">
        <v>163</v>
      </c>
      <c r="B15" s="31" t="n">
        <f aca="false">Burn_Plan!S39</f>
        <v>3.5</v>
      </c>
      <c r="C15" s="13" t="n">
        <f aca="false">B15/Inputs!$B$8</f>
        <v>0.0194444444444444</v>
      </c>
      <c r="D15" s="14" t="n">
        <f aca="false">B15*10/Inputs!$B$6</f>
        <v>0.388888888888889</v>
      </c>
      <c r="E15" s="21" t="s">
        <v>164</v>
      </c>
    </row>
    <row r="16" customFormat="false" ht="30" hidden="false" customHeight="true" outlineLevel="0" collapsed="false">
      <c r="A16" s="9" t="s">
        <v>165</v>
      </c>
      <c r="B16" s="31" t="n">
        <f aca="false">Inputs!B17</f>
        <v>0</v>
      </c>
      <c r="C16" s="13" t="n">
        <f aca="false">B16/Inputs!$B$8</f>
        <v>0</v>
      </c>
      <c r="D16" s="14" t="n">
        <f aca="false">B16*10/Inputs!$B$6</f>
        <v>0</v>
      </c>
      <c r="E16" s="21" t="s">
        <v>166</v>
      </c>
    </row>
    <row r="17" customFormat="false" ht="15" hidden="false" customHeight="false" outlineLevel="0" collapsed="false">
      <c r="A17" s="23" t="s">
        <v>167</v>
      </c>
      <c r="B17" s="25" t="n">
        <f aca="false">Inputs!B8-SUM(B5:B16)</f>
        <v>19.265</v>
      </c>
      <c r="C17" s="24" t="n">
        <f aca="false">B17/Inputs!$B$8</f>
        <v>0.107027777777778</v>
      </c>
      <c r="D17" s="14" t="n">
        <f aca="false">B17*10/Inputs!$B$6</f>
        <v>2.14055555555555</v>
      </c>
      <c r="E17" s="5" t="s">
        <v>168</v>
      </c>
    </row>
    <row r="18" customFormat="false" ht="15" hidden="false" customHeight="false" outlineLevel="0" collapsed="false">
      <c r="A18" s="23" t="s">
        <v>169</v>
      </c>
      <c r="B18" s="25" t="n">
        <f aca="false">SUM(B5:B17)</f>
        <v>180</v>
      </c>
      <c r="C18" s="24" t="n">
        <f aca="false">SUM(C5:C17)</f>
        <v>1</v>
      </c>
      <c r="D18" s="25" t="n">
        <f aca="false">SUM(D5:D17)</f>
        <v>20</v>
      </c>
    </row>
    <row r="20" customFormat="false" ht="15" hidden="false" customHeight="false" outlineLevel="0" collapsed="false">
      <c r="A20" s="7" t="s">
        <v>170</v>
      </c>
      <c r="B20" s="8"/>
      <c r="C20" s="8"/>
      <c r="D20" s="8"/>
      <c r="E20" s="8"/>
    </row>
    <row r="21" customFormat="false" ht="35.05" hidden="false" customHeight="false" outlineLevel="0" collapsed="false">
      <c r="A21" s="6" t="s">
        <v>171</v>
      </c>
      <c r="B21" s="6" t="s">
        <v>172</v>
      </c>
      <c r="C21" s="6" t="s">
        <v>173</v>
      </c>
      <c r="D21" s="6" t="s">
        <v>174</v>
      </c>
      <c r="E21" s="6" t="s">
        <v>125</v>
      </c>
    </row>
    <row r="22" customFormat="false" ht="15" hidden="false" customHeight="false" outlineLevel="0" collapsed="false">
      <c r="A22" s="32" t="str">
        <f aca="false">Inputs!A23</f>
        <v>T1 — Closing</v>
      </c>
      <c r="B22" s="31" t="n">
        <f aca="false">Inputs!E23</f>
        <v>45</v>
      </c>
      <c r="C22" s="14" t="n">
        <f aca="false">SUMIFS(Burn_Plan!$C$41:$R$41,Burn_Plan!$C$4:$R$4,"&gt;="&amp;Inputs!C23,Burn_Plan!$C$4:$R$4,"&lt;"&amp;Inputs!C24)</f>
        <v>29.635</v>
      </c>
      <c r="D22" s="14" t="n">
        <f aca="false">B22-C22</f>
        <v>15.365</v>
      </c>
      <c r="E22" s="5" t="s">
        <v>175</v>
      </c>
    </row>
    <row r="23" customFormat="false" ht="15" hidden="false" customHeight="false" outlineLevel="0" collapsed="false">
      <c r="A23" s="32" t="str">
        <f aca="false">Inputs!A24</f>
        <v>T2 — Gate 1 (Proof)</v>
      </c>
      <c r="B23" s="31" t="n">
        <f aca="false">Inputs!E24</f>
        <v>45</v>
      </c>
      <c r="C23" s="14" t="n">
        <f aca="false">SUMIFS(Burn_Plan!$C$41:$R$41,Burn_Plan!$C$4:$R$4,"&gt;="&amp;Inputs!C24,Burn_Plan!$C$4:$R$4,"&lt;"&amp;Inputs!C25)</f>
        <v>47</v>
      </c>
      <c r="D23" s="14" t="n">
        <f aca="false">B23-C23</f>
        <v>-2</v>
      </c>
    </row>
    <row r="24" customFormat="false" ht="15" hidden="false" customHeight="false" outlineLevel="0" collapsed="false">
      <c r="A24" s="32" t="str">
        <f aca="false">Inputs!A25</f>
        <v>T3 — Gate 2 (Demand + Co-Creator)</v>
      </c>
      <c r="B24" s="31" t="n">
        <f aca="false">Inputs!E25</f>
        <v>45</v>
      </c>
      <c r="C24" s="14" t="n">
        <f aca="false">SUMIFS(Burn_Plan!$C$41:$R$41,Burn_Plan!$C$4:$R$4,"&gt;="&amp;Inputs!C25,Burn_Plan!$C$4:$R$4,"&lt;"&amp;Inputs!C26)</f>
        <v>45.46</v>
      </c>
      <c r="D24" s="14" t="n">
        <f aca="false">B24-C24</f>
        <v>-0.459999999999994</v>
      </c>
    </row>
    <row r="25" customFormat="false" ht="15" hidden="false" customHeight="false" outlineLevel="0" collapsed="false">
      <c r="A25" s="32" t="str">
        <f aca="false">Inputs!A26</f>
        <v>T4 — Gate 3 (Co-Creation)</v>
      </c>
      <c r="B25" s="31" t="n">
        <f aca="false">Inputs!E26</f>
        <v>45</v>
      </c>
      <c r="C25" s="14" t="n">
        <f aca="false">SUMIFS(Burn_Plan!$C$41:$R$41,Burn_Plan!$C$4:$R$4,"&gt;="&amp;Inputs!C26,Burn_Plan!$C$4:$R$4,"&lt;"&amp;99)</f>
        <v>38.64</v>
      </c>
      <c r="D25" s="14" t="n">
        <f aca="false">B25-C25</f>
        <v>6.36</v>
      </c>
    </row>
    <row r="26" customFormat="false" ht="15" hidden="false" customHeight="false" outlineLevel="0" collapsed="false">
      <c r="A26" s="23" t="s">
        <v>118</v>
      </c>
      <c r="B26" s="25" t="n">
        <f aca="false">SUM(B22:B25)</f>
        <v>180</v>
      </c>
      <c r="C26" s="25" t="n">
        <f aca="false">SUM(C22:C25)</f>
        <v>160.735</v>
      </c>
      <c r="D26" s="25" t="n">
        <f aca="false">SUM(D22:D25)</f>
        <v>19.265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18" min="3" style="0" width="8"/>
    <col collapsed="false" customWidth="true" hidden="false" outlineLevel="0" max="19" min="19" style="0" width="11"/>
  </cols>
  <sheetData>
    <row r="1" customFormat="false" ht="17.35" hidden="false" customHeight="false" outlineLevel="0" collapsed="false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5" t="s">
        <v>177</v>
      </c>
    </row>
    <row r="4" customFormat="false" ht="15" hidden="false" customHeight="false" outlineLevel="0" collapsed="false">
      <c r="A4" s="6" t="s">
        <v>178</v>
      </c>
      <c r="B4" s="6" t="s">
        <v>179</v>
      </c>
      <c r="C4" s="33" t="n">
        <v>1</v>
      </c>
      <c r="D4" s="33" t="n">
        <v>2</v>
      </c>
      <c r="E4" s="33" t="n">
        <v>3</v>
      </c>
      <c r="F4" s="33" t="n">
        <v>4</v>
      </c>
      <c r="G4" s="33" t="n">
        <v>5</v>
      </c>
      <c r="H4" s="33" t="n">
        <v>6</v>
      </c>
      <c r="I4" s="33" t="n">
        <v>7</v>
      </c>
      <c r="J4" s="33" t="n">
        <v>8</v>
      </c>
      <c r="K4" s="33" t="n">
        <v>9</v>
      </c>
      <c r="L4" s="33" t="n">
        <v>10</v>
      </c>
      <c r="M4" s="33" t="n">
        <v>11</v>
      </c>
      <c r="N4" s="33" t="n">
        <v>12</v>
      </c>
      <c r="O4" s="33" t="n">
        <v>13</v>
      </c>
      <c r="P4" s="33" t="n">
        <v>14</v>
      </c>
      <c r="Q4" s="33" t="n">
        <v>15</v>
      </c>
      <c r="R4" s="33" t="n">
        <v>16</v>
      </c>
      <c r="S4" s="6" t="s">
        <v>118</v>
      </c>
    </row>
    <row r="5" customFormat="false" ht="15" hidden="false" customHeight="false" outlineLevel="0" collapsed="false">
      <c r="A5" s="5" t="s">
        <v>180</v>
      </c>
      <c r="C5" s="34" t="n">
        <f aca="false">INT((C4-1)/4)+1</f>
        <v>1</v>
      </c>
      <c r="D5" s="34" t="n">
        <f aca="false">INT((D4-1)/4)+1</f>
        <v>1</v>
      </c>
      <c r="E5" s="34" t="n">
        <f aca="false">INT((E4-1)/4)+1</f>
        <v>1</v>
      </c>
      <c r="F5" s="34" t="n">
        <f aca="false">INT((F4-1)/4)+1</f>
        <v>1</v>
      </c>
      <c r="G5" s="34" t="n">
        <f aca="false">INT((G4-1)/4)+1</f>
        <v>2</v>
      </c>
      <c r="H5" s="34" t="n">
        <f aca="false">INT((H4-1)/4)+1</f>
        <v>2</v>
      </c>
      <c r="I5" s="34" t="n">
        <f aca="false">INT((I4-1)/4)+1</f>
        <v>2</v>
      </c>
      <c r="J5" s="34" t="n">
        <f aca="false">INT((J4-1)/4)+1</f>
        <v>2</v>
      </c>
      <c r="K5" s="34" t="n">
        <f aca="false">INT((K4-1)/4)+1</f>
        <v>3</v>
      </c>
      <c r="L5" s="34" t="n">
        <f aca="false">INT((L4-1)/4)+1</f>
        <v>3</v>
      </c>
      <c r="M5" s="34" t="n">
        <f aca="false">INT((M4-1)/4)+1</f>
        <v>3</v>
      </c>
      <c r="N5" s="34" t="n">
        <f aca="false">INT((N4-1)/4)+1</f>
        <v>3</v>
      </c>
      <c r="O5" s="34" t="n">
        <f aca="false">INT((O4-1)/4)+1</f>
        <v>4</v>
      </c>
      <c r="P5" s="34" t="n">
        <f aca="false">INT((P4-1)/4)+1</f>
        <v>4</v>
      </c>
      <c r="Q5" s="34" t="n">
        <f aca="false">INT((Q4-1)/4)+1</f>
        <v>4</v>
      </c>
      <c r="R5" s="34" t="n">
        <f aca="false">INT((R4-1)/4)+1</f>
        <v>4</v>
      </c>
    </row>
    <row r="7" customFormat="false" ht="15" hidden="false" customHeight="false" outlineLevel="0" collapsed="false">
      <c r="A7" s="7" t="s">
        <v>181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15" hidden="false" customHeight="false" outlineLevel="0" collapsed="false">
      <c r="A8" s="9" t="s">
        <v>182</v>
      </c>
      <c r="B8" s="35" t="n">
        <v>150</v>
      </c>
      <c r="C8" s="19" t="n">
        <v>2</v>
      </c>
      <c r="D8" s="19" t="n">
        <v>3</v>
      </c>
      <c r="E8" s="19" t="n">
        <v>3</v>
      </c>
      <c r="F8" s="19" t="n">
        <v>3</v>
      </c>
      <c r="G8" s="19" t="n">
        <v>3</v>
      </c>
      <c r="H8" s="19" t="n">
        <v>3</v>
      </c>
      <c r="I8" s="19" t="n">
        <v>3</v>
      </c>
      <c r="J8" s="19" t="n">
        <v>3</v>
      </c>
      <c r="K8" s="19" t="n">
        <v>3</v>
      </c>
      <c r="L8" s="19" t="n">
        <v>3</v>
      </c>
      <c r="M8" s="19" t="n">
        <v>3</v>
      </c>
      <c r="N8" s="19" t="n">
        <v>3</v>
      </c>
      <c r="O8" s="19" t="n">
        <v>3</v>
      </c>
      <c r="P8" s="19" t="n">
        <v>3</v>
      </c>
      <c r="Q8" s="19" t="n">
        <v>3</v>
      </c>
      <c r="R8" s="19" t="n">
        <v>3</v>
      </c>
    </row>
    <row r="9" customFormat="false" ht="15" hidden="false" customHeight="false" outlineLevel="0" collapsed="false">
      <c r="A9" s="9" t="s">
        <v>183</v>
      </c>
      <c r="B9" s="35" t="n">
        <v>60</v>
      </c>
      <c r="C9" s="19" t="n">
        <v>3</v>
      </c>
      <c r="D9" s="19" t="n">
        <v>4</v>
      </c>
      <c r="E9" s="19" t="n">
        <v>5</v>
      </c>
      <c r="F9" s="19" t="n">
        <v>6</v>
      </c>
      <c r="G9" s="19" t="n">
        <v>6</v>
      </c>
      <c r="H9" s="19" t="n">
        <v>6</v>
      </c>
      <c r="I9" s="19" t="n">
        <v>6</v>
      </c>
      <c r="J9" s="19" t="n">
        <v>6</v>
      </c>
      <c r="K9" s="19" t="n">
        <v>6</v>
      </c>
      <c r="L9" s="19" t="n">
        <v>6</v>
      </c>
      <c r="M9" s="19" t="n">
        <v>6</v>
      </c>
      <c r="N9" s="19" t="n">
        <v>6</v>
      </c>
      <c r="O9" s="19" t="n">
        <v>6</v>
      </c>
      <c r="P9" s="19" t="n">
        <v>6</v>
      </c>
      <c r="Q9" s="19" t="n">
        <v>6</v>
      </c>
      <c r="R9" s="19" t="n">
        <v>6</v>
      </c>
    </row>
    <row r="10" customFormat="false" ht="15" hidden="false" customHeight="false" outlineLevel="0" collapsed="false">
      <c r="A10" s="9" t="s">
        <v>184</v>
      </c>
      <c r="B10" s="35" t="n">
        <v>42</v>
      </c>
      <c r="C10" s="19" t="n">
        <v>4</v>
      </c>
      <c r="D10" s="19" t="n">
        <v>7</v>
      </c>
      <c r="E10" s="19" t="n">
        <v>10</v>
      </c>
      <c r="F10" s="19" t="n">
        <v>12</v>
      </c>
      <c r="G10" s="19" t="n">
        <v>14</v>
      </c>
      <c r="H10" s="19" t="n">
        <v>15</v>
      </c>
      <c r="I10" s="19" t="n">
        <v>15</v>
      </c>
      <c r="J10" s="19" t="n">
        <v>15</v>
      </c>
      <c r="K10" s="19" t="n">
        <v>15</v>
      </c>
      <c r="L10" s="19" t="n">
        <v>15</v>
      </c>
      <c r="M10" s="19" t="n">
        <v>15</v>
      </c>
      <c r="N10" s="19" t="n">
        <v>15</v>
      </c>
      <c r="O10" s="19" t="n">
        <v>14</v>
      </c>
      <c r="P10" s="19" t="n">
        <v>14</v>
      </c>
      <c r="Q10" s="19" t="n">
        <v>14</v>
      </c>
      <c r="R10" s="19" t="n">
        <v>14</v>
      </c>
    </row>
    <row r="11" customFormat="false" ht="15" hidden="false" customHeight="false" outlineLevel="0" collapsed="false">
      <c r="A11" s="9" t="s">
        <v>185</v>
      </c>
      <c r="B11" s="35" t="n">
        <v>50</v>
      </c>
      <c r="C11" s="19" t="n">
        <v>2</v>
      </c>
      <c r="D11" s="19" t="n">
        <v>3</v>
      </c>
      <c r="E11" s="19" t="n">
        <v>4</v>
      </c>
      <c r="F11" s="19" t="n">
        <v>4</v>
      </c>
      <c r="G11" s="19" t="n">
        <v>5</v>
      </c>
      <c r="H11" s="19" t="n">
        <v>5</v>
      </c>
      <c r="I11" s="19" t="n">
        <v>5</v>
      </c>
      <c r="J11" s="19" t="n">
        <v>5</v>
      </c>
      <c r="K11" s="19" t="n">
        <v>5</v>
      </c>
      <c r="L11" s="19" t="n">
        <v>5</v>
      </c>
      <c r="M11" s="19" t="n">
        <v>5</v>
      </c>
      <c r="N11" s="19" t="n">
        <v>5</v>
      </c>
      <c r="O11" s="19" t="n">
        <v>5</v>
      </c>
      <c r="P11" s="19" t="n">
        <v>5</v>
      </c>
      <c r="Q11" s="19" t="n">
        <v>5</v>
      </c>
      <c r="R11" s="19" t="n">
        <v>5</v>
      </c>
    </row>
    <row r="12" customFormat="false" ht="15" hidden="false" customHeight="false" outlineLevel="0" collapsed="false">
      <c r="A12" s="9" t="s">
        <v>186</v>
      </c>
      <c r="B12" s="35" t="n">
        <v>40</v>
      </c>
      <c r="C12" s="19" t="n">
        <v>2</v>
      </c>
      <c r="D12" s="19" t="n">
        <v>3</v>
      </c>
      <c r="E12" s="19" t="n">
        <v>3</v>
      </c>
      <c r="F12" s="19" t="n">
        <v>4</v>
      </c>
      <c r="G12" s="19" t="n">
        <v>4</v>
      </c>
      <c r="H12" s="19" t="n">
        <v>5</v>
      </c>
      <c r="I12" s="19" t="n">
        <v>5</v>
      </c>
      <c r="J12" s="19" t="n">
        <v>5</v>
      </c>
      <c r="K12" s="19" t="n">
        <v>5</v>
      </c>
      <c r="L12" s="19" t="n">
        <v>5</v>
      </c>
      <c r="M12" s="19" t="n">
        <v>5</v>
      </c>
      <c r="N12" s="19" t="n">
        <v>5</v>
      </c>
      <c r="O12" s="19" t="n">
        <v>5</v>
      </c>
      <c r="P12" s="19" t="n">
        <v>5</v>
      </c>
      <c r="Q12" s="19" t="n">
        <v>5</v>
      </c>
      <c r="R12" s="19" t="n">
        <v>5</v>
      </c>
    </row>
    <row r="13" customFormat="false" ht="15" hidden="false" customHeight="false" outlineLevel="0" collapsed="false">
      <c r="A13" s="9" t="s">
        <v>187</v>
      </c>
      <c r="B13" s="35" t="n">
        <v>38</v>
      </c>
      <c r="C13" s="19" t="n">
        <v>0</v>
      </c>
      <c r="D13" s="19" t="n">
        <v>1</v>
      </c>
      <c r="E13" s="19" t="n">
        <v>2</v>
      </c>
      <c r="F13" s="19" t="n">
        <v>3</v>
      </c>
      <c r="G13" s="19" t="n">
        <v>4</v>
      </c>
      <c r="H13" s="19" t="n">
        <v>6</v>
      </c>
      <c r="I13" s="19" t="n">
        <v>7</v>
      </c>
      <c r="J13" s="19" t="n">
        <v>7</v>
      </c>
      <c r="K13" s="19" t="n">
        <v>7</v>
      </c>
      <c r="L13" s="19" t="n">
        <v>7</v>
      </c>
      <c r="M13" s="19" t="n">
        <v>7</v>
      </c>
      <c r="N13" s="19" t="n">
        <v>7</v>
      </c>
      <c r="O13" s="19" t="n">
        <v>7</v>
      </c>
      <c r="P13" s="19" t="n">
        <v>7</v>
      </c>
      <c r="Q13" s="19" t="n">
        <v>7</v>
      </c>
      <c r="R13" s="19" t="n">
        <v>7</v>
      </c>
    </row>
    <row r="14" customFormat="false" ht="15" hidden="false" customHeight="false" outlineLevel="0" collapsed="false">
      <c r="A14" s="9" t="s">
        <v>188</v>
      </c>
      <c r="B14" s="35" t="n">
        <v>30</v>
      </c>
      <c r="C14" s="19" t="n">
        <v>2</v>
      </c>
      <c r="D14" s="19" t="n">
        <v>3</v>
      </c>
      <c r="E14" s="19" t="n">
        <v>3</v>
      </c>
      <c r="F14" s="19" t="n">
        <v>4</v>
      </c>
      <c r="G14" s="19" t="n">
        <v>4</v>
      </c>
      <c r="H14" s="19" t="n">
        <v>5</v>
      </c>
      <c r="I14" s="19" t="n">
        <v>5</v>
      </c>
      <c r="J14" s="19" t="n">
        <v>5</v>
      </c>
      <c r="K14" s="19" t="n">
        <v>5</v>
      </c>
      <c r="L14" s="19" t="n">
        <v>5</v>
      </c>
      <c r="M14" s="19" t="n">
        <v>5</v>
      </c>
      <c r="N14" s="19" t="n">
        <v>5</v>
      </c>
      <c r="O14" s="19" t="n">
        <v>5</v>
      </c>
      <c r="P14" s="19" t="n">
        <v>5</v>
      </c>
      <c r="Q14" s="19" t="n">
        <v>5</v>
      </c>
      <c r="R14" s="19" t="n">
        <v>5</v>
      </c>
    </row>
    <row r="15" customFormat="false" ht="15" hidden="false" customHeight="false" outlineLevel="0" collapsed="false">
      <c r="A15" s="23" t="s">
        <v>189</v>
      </c>
      <c r="C15" s="36" t="n">
        <f aca="false">SUM(C8:C14)</f>
        <v>15</v>
      </c>
      <c r="D15" s="36" t="n">
        <f aca="false">SUM(D8:D14)</f>
        <v>24</v>
      </c>
      <c r="E15" s="36" t="n">
        <f aca="false">SUM(E8:E14)</f>
        <v>30</v>
      </c>
      <c r="F15" s="36" t="n">
        <f aca="false">SUM(F8:F14)</f>
        <v>36</v>
      </c>
      <c r="G15" s="36" t="n">
        <f aca="false">SUM(G8:G14)</f>
        <v>40</v>
      </c>
      <c r="H15" s="36" t="n">
        <f aca="false">SUM(H8:H14)</f>
        <v>45</v>
      </c>
      <c r="I15" s="36" t="n">
        <f aca="false">SUM(I8:I14)</f>
        <v>46</v>
      </c>
      <c r="J15" s="36" t="n">
        <f aca="false">SUM(J8:J14)</f>
        <v>46</v>
      </c>
      <c r="K15" s="36" t="n">
        <f aca="false">SUM(K8:K14)</f>
        <v>46</v>
      </c>
      <c r="L15" s="36" t="n">
        <f aca="false">SUM(L8:L14)</f>
        <v>46</v>
      </c>
      <c r="M15" s="36" t="n">
        <f aca="false">SUM(M8:M14)</f>
        <v>46</v>
      </c>
      <c r="N15" s="36" t="n">
        <f aca="false">SUM(N8:N14)</f>
        <v>46</v>
      </c>
      <c r="O15" s="36" t="n">
        <f aca="false">SUM(O8:O14)</f>
        <v>45</v>
      </c>
      <c r="P15" s="36" t="n">
        <f aca="false">SUM(P8:P14)</f>
        <v>45</v>
      </c>
      <c r="Q15" s="36" t="n">
        <f aca="false">SUM(Q8:Q14)</f>
        <v>45</v>
      </c>
      <c r="R15" s="36" t="n">
        <f aca="false">SUM(R8:R14)</f>
        <v>45</v>
      </c>
    </row>
    <row r="16" customFormat="false" ht="15" hidden="false" customHeight="false" outlineLevel="0" collapsed="false">
      <c r="A16" s="7" t="s">
        <v>190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15" hidden="false" customHeight="false" outlineLevel="0" collapsed="false">
      <c r="A17" s="9" t="s">
        <v>182</v>
      </c>
      <c r="C17" s="14" t="n">
        <f aca="false">C8*$B8/400</f>
        <v>0.75</v>
      </c>
      <c r="D17" s="14" t="n">
        <f aca="false">D8*$B8/400</f>
        <v>1.125</v>
      </c>
      <c r="E17" s="14" t="n">
        <f aca="false">E8*$B8/400</f>
        <v>1.125</v>
      </c>
      <c r="F17" s="14" t="n">
        <f aca="false">F8*$B8/400</f>
        <v>1.125</v>
      </c>
      <c r="G17" s="14" t="n">
        <f aca="false">G8*$B8/400</f>
        <v>1.125</v>
      </c>
      <c r="H17" s="14" t="n">
        <f aca="false">H8*$B8/400</f>
        <v>1.125</v>
      </c>
      <c r="I17" s="14" t="n">
        <f aca="false">I8*$B8/400</f>
        <v>1.125</v>
      </c>
      <c r="J17" s="14" t="n">
        <f aca="false">J8*$B8/400</f>
        <v>1.125</v>
      </c>
      <c r="K17" s="14" t="n">
        <f aca="false">K8*$B8/400</f>
        <v>1.125</v>
      </c>
      <c r="L17" s="14" t="n">
        <f aca="false">L8*$B8/400</f>
        <v>1.125</v>
      </c>
      <c r="M17" s="14" t="n">
        <f aca="false">M8*$B8/400</f>
        <v>1.125</v>
      </c>
      <c r="N17" s="14" t="n">
        <f aca="false">N8*$B8/400</f>
        <v>1.125</v>
      </c>
      <c r="O17" s="14" t="n">
        <f aca="false">O8*$B8/400</f>
        <v>1.125</v>
      </c>
      <c r="P17" s="14" t="n">
        <f aca="false">P8*$B8/400</f>
        <v>1.125</v>
      </c>
      <c r="Q17" s="14" t="n">
        <f aca="false">Q8*$B8/400</f>
        <v>1.125</v>
      </c>
      <c r="R17" s="14" t="n">
        <f aca="false">R8*$B8/400</f>
        <v>1.125</v>
      </c>
      <c r="S17" s="14" t="n">
        <f aca="false">SUM(C17:R17)</f>
        <v>17.625</v>
      </c>
    </row>
    <row r="18" customFormat="false" ht="15" hidden="false" customHeight="false" outlineLevel="0" collapsed="false">
      <c r="A18" s="9" t="s">
        <v>183</v>
      </c>
      <c r="C18" s="14" t="n">
        <f aca="false">C9*$B9/400</f>
        <v>0.45</v>
      </c>
      <c r="D18" s="14" t="n">
        <f aca="false">D9*$B9/400</f>
        <v>0.6</v>
      </c>
      <c r="E18" s="14" t="n">
        <f aca="false">E9*$B9/400</f>
        <v>0.75</v>
      </c>
      <c r="F18" s="14" t="n">
        <f aca="false">F9*$B9/400</f>
        <v>0.9</v>
      </c>
      <c r="G18" s="14" t="n">
        <f aca="false">G9*$B9/400</f>
        <v>0.9</v>
      </c>
      <c r="H18" s="14" t="n">
        <f aca="false">H9*$B9/400</f>
        <v>0.9</v>
      </c>
      <c r="I18" s="14" t="n">
        <f aca="false">I9*$B9/400</f>
        <v>0.9</v>
      </c>
      <c r="J18" s="14" t="n">
        <f aca="false">J9*$B9/400</f>
        <v>0.9</v>
      </c>
      <c r="K18" s="14" t="n">
        <f aca="false">K9*$B9/400</f>
        <v>0.9</v>
      </c>
      <c r="L18" s="14" t="n">
        <f aca="false">L9*$B9/400</f>
        <v>0.9</v>
      </c>
      <c r="M18" s="14" t="n">
        <f aca="false">M9*$B9/400</f>
        <v>0.9</v>
      </c>
      <c r="N18" s="14" t="n">
        <f aca="false">N9*$B9/400</f>
        <v>0.9</v>
      </c>
      <c r="O18" s="14" t="n">
        <f aca="false">O9*$B9/400</f>
        <v>0.9</v>
      </c>
      <c r="P18" s="14" t="n">
        <f aca="false">P9*$B9/400</f>
        <v>0.9</v>
      </c>
      <c r="Q18" s="14" t="n">
        <f aca="false">Q9*$B9/400</f>
        <v>0.9</v>
      </c>
      <c r="R18" s="14" t="n">
        <f aca="false">R9*$B9/400</f>
        <v>0.9</v>
      </c>
      <c r="S18" s="14" t="n">
        <f aca="false">SUM(C18:R18)</f>
        <v>13.5</v>
      </c>
    </row>
    <row r="19" customFormat="false" ht="15" hidden="false" customHeight="false" outlineLevel="0" collapsed="false">
      <c r="A19" s="9" t="s">
        <v>184</v>
      </c>
      <c r="C19" s="14" t="n">
        <f aca="false">C10*$B10/400</f>
        <v>0.42</v>
      </c>
      <c r="D19" s="14" t="n">
        <f aca="false">D10*$B10/400</f>
        <v>0.735</v>
      </c>
      <c r="E19" s="14" t="n">
        <f aca="false">E10*$B10/400</f>
        <v>1.05</v>
      </c>
      <c r="F19" s="14" t="n">
        <f aca="false">F10*$B10/400</f>
        <v>1.26</v>
      </c>
      <c r="G19" s="14" t="n">
        <f aca="false">G10*$B10/400</f>
        <v>1.47</v>
      </c>
      <c r="H19" s="14" t="n">
        <f aca="false">H10*$B10/400</f>
        <v>1.575</v>
      </c>
      <c r="I19" s="14" t="n">
        <f aca="false">I10*$B10/400</f>
        <v>1.575</v>
      </c>
      <c r="J19" s="14" t="n">
        <f aca="false">J10*$B10/400</f>
        <v>1.575</v>
      </c>
      <c r="K19" s="14" t="n">
        <f aca="false">K10*$B10/400</f>
        <v>1.575</v>
      </c>
      <c r="L19" s="14" t="n">
        <f aca="false">L10*$B10/400</f>
        <v>1.575</v>
      </c>
      <c r="M19" s="14" t="n">
        <f aca="false">M10*$B10/400</f>
        <v>1.575</v>
      </c>
      <c r="N19" s="14" t="n">
        <f aca="false">N10*$B10/400</f>
        <v>1.575</v>
      </c>
      <c r="O19" s="14" t="n">
        <f aca="false">O10*$B10/400</f>
        <v>1.47</v>
      </c>
      <c r="P19" s="14" t="n">
        <f aca="false">P10*$B10/400</f>
        <v>1.47</v>
      </c>
      <c r="Q19" s="14" t="n">
        <f aca="false">Q10*$B10/400</f>
        <v>1.47</v>
      </c>
      <c r="R19" s="14" t="n">
        <f aca="false">R10*$B10/400</f>
        <v>1.47</v>
      </c>
      <c r="S19" s="14" t="n">
        <f aca="false">SUM(C19:R19)</f>
        <v>21.84</v>
      </c>
    </row>
    <row r="20" customFormat="false" ht="15" hidden="false" customHeight="false" outlineLevel="0" collapsed="false">
      <c r="A20" s="9" t="s">
        <v>185</v>
      </c>
      <c r="C20" s="14" t="n">
        <f aca="false">C11*$B11/400</f>
        <v>0.25</v>
      </c>
      <c r="D20" s="14" t="n">
        <f aca="false">D11*$B11/400</f>
        <v>0.375</v>
      </c>
      <c r="E20" s="14" t="n">
        <f aca="false">E11*$B11/400</f>
        <v>0.5</v>
      </c>
      <c r="F20" s="14" t="n">
        <f aca="false">F11*$B11/400</f>
        <v>0.5</v>
      </c>
      <c r="G20" s="14" t="n">
        <f aca="false">G11*$B11/400</f>
        <v>0.625</v>
      </c>
      <c r="H20" s="14" t="n">
        <f aca="false">H11*$B11/400</f>
        <v>0.625</v>
      </c>
      <c r="I20" s="14" t="n">
        <f aca="false">I11*$B11/400</f>
        <v>0.625</v>
      </c>
      <c r="J20" s="14" t="n">
        <f aca="false">J11*$B11/400</f>
        <v>0.625</v>
      </c>
      <c r="K20" s="14" t="n">
        <f aca="false">K11*$B11/400</f>
        <v>0.625</v>
      </c>
      <c r="L20" s="14" t="n">
        <f aca="false">L11*$B11/400</f>
        <v>0.625</v>
      </c>
      <c r="M20" s="14" t="n">
        <f aca="false">M11*$B11/400</f>
        <v>0.625</v>
      </c>
      <c r="N20" s="14" t="n">
        <f aca="false">N11*$B11/400</f>
        <v>0.625</v>
      </c>
      <c r="O20" s="14" t="n">
        <f aca="false">O11*$B11/400</f>
        <v>0.625</v>
      </c>
      <c r="P20" s="14" t="n">
        <f aca="false">P11*$B11/400</f>
        <v>0.625</v>
      </c>
      <c r="Q20" s="14" t="n">
        <f aca="false">Q11*$B11/400</f>
        <v>0.625</v>
      </c>
      <c r="R20" s="14" t="n">
        <f aca="false">R11*$B11/400</f>
        <v>0.625</v>
      </c>
      <c r="S20" s="14" t="n">
        <f aca="false">SUM(C20:R20)</f>
        <v>9.125</v>
      </c>
    </row>
    <row r="21" customFormat="false" ht="15" hidden="false" customHeight="false" outlineLevel="0" collapsed="false">
      <c r="A21" s="9" t="s">
        <v>186</v>
      </c>
      <c r="C21" s="14" t="n">
        <f aca="false">C12*$B12/400</f>
        <v>0.2</v>
      </c>
      <c r="D21" s="14" t="n">
        <f aca="false">D12*$B12/400</f>
        <v>0.3</v>
      </c>
      <c r="E21" s="14" t="n">
        <f aca="false">E12*$B12/400</f>
        <v>0.3</v>
      </c>
      <c r="F21" s="14" t="n">
        <f aca="false">F12*$B12/400</f>
        <v>0.4</v>
      </c>
      <c r="G21" s="14" t="n">
        <f aca="false">G12*$B12/400</f>
        <v>0.4</v>
      </c>
      <c r="H21" s="14" t="n">
        <f aca="false">H12*$B12/400</f>
        <v>0.5</v>
      </c>
      <c r="I21" s="14" t="n">
        <f aca="false">I12*$B12/400</f>
        <v>0.5</v>
      </c>
      <c r="J21" s="14" t="n">
        <f aca="false">J12*$B12/400</f>
        <v>0.5</v>
      </c>
      <c r="K21" s="14" t="n">
        <f aca="false">K12*$B12/400</f>
        <v>0.5</v>
      </c>
      <c r="L21" s="14" t="n">
        <f aca="false">L12*$B12/400</f>
        <v>0.5</v>
      </c>
      <c r="M21" s="14" t="n">
        <f aca="false">M12*$B12/400</f>
        <v>0.5</v>
      </c>
      <c r="N21" s="14" t="n">
        <f aca="false">N12*$B12/400</f>
        <v>0.5</v>
      </c>
      <c r="O21" s="14" t="n">
        <f aca="false">O12*$B12/400</f>
        <v>0.5</v>
      </c>
      <c r="P21" s="14" t="n">
        <f aca="false">P12*$B12/400</f>
        <v>0.5</v>
      </c>
      <c r="Q21" s="14" t="n">
        <f aca="false">Q12*$B12/400</f>
        <v>0.5</v>
      </c>
      <c r="R21" s="14" t="n">
        <f aca="false">R12*$B12/400</f>
        <v>0.5</v>
      </c>
      <c r="S21" s="14" t="n">
        <f aca="false">SUM(C21:R21)</f>
        <v>7.1</v>
      </c>
    </row>
    <row r="22" customFormat="false" ht="15" hidden="false" customHeight="false" outlineLevel="0" collapsed="false">
      <c r="A22" s="9" t="s">
        <v>187</v>
      </c>
      <c r="C22" s="14" t="n">
        <f aca="false">C13*$B13/400</f>
        <v>0</v>
      </c>
      <c r="D22" s="14" t="n">
        <f aca="false">D13*$B13/400</f>
        <v>0.095</v>
      </c>
      <c r="E22" s="14" t="n">
        <f aca="false">E13*$B13/400</f>
        <v>0.19</v>
      </c>
      <c r="F22" s="14" t="n">
        <f aca="false">F13*$B13/400</f>
        <v>0.285</v>
      </c>
      <c r="G22" s="14" t="n">
        <f aca="false">G13*$B13/400</f>
        <v>0.38</v>
      </c>
      <c r="H22" s="14" t="n">
        <f aca="false">H13*$B13/400</f>
        <v>0.57</v>
      </c>
      <c r="I22" s="14" t="n">
        <f aca="false">I13*$B13/400</f>
        <v>0.665</v>
      </c>
      <c r="J22" s="14" t="n">
        <f aca="false">J13*$B13/400</f>
        <v>0.665</v>
      </c>
      <c r="K22" s="14" t="n">
        <f aca="false">K13*$B13/400</f>
        <v>0.665</v>
      </c>
      <c r="L22" s="14" t="n">
        <f aca="false">L13*$B13/400</f>
        <v>0.665</v>
      </c>
      <c r="M22" s="14" t="n">
        <f aca="false">M13*$B13/400</f>
        <v>0.665</v>
      </c>
      <c r="N22" s="14" t="n">
        <f aca="false">N13*$B13/400</f>
        <v>0.665</v>
      </c>
      <c r="O22" s="14" t="n">
        <f aca="false">O13*$B13/400</f>
        <v>0.665</v>
      </c>
      <c r="P22" s="14" t="n">
        <f aca="false">P13*$B13/400</f>
        <v>0.665</v>
      </c>
      <c r="Q22" s="14" t="n">
        <f aca="false">Q13*$B13/400</f>
        <v>0.665</v>
      </c>
      <c r="R22" s="14" t="n">
        <f aca="false">R13*$B13/400</f>
        <v>0.665</v>
      </c>
      <c r="S22" s="14" t="n">
        <f aca="false">SUM(C22:R22)</f>
        <v>8.17</v>
      </c>
    </row>
    <row r="23" customFormat="false" ht="15" hidden="false" customHeight="false" outlineLevel="0" collapsed="false">
      <c r="A23" s="9" t="s">
        <v>188</v>
      </c>
      <c r="C23" s="14" t="n">
        <f aca="false">C14*$B14/400</f>
        <v>0.15</v>
      </c>
      <c r="D23" s="14" t="n">
        <f aca="false">D14*$B14/400</f>
        <v>0.225</v>
      </c>
      <c r="E23" s="14" t="n">
        <f aca="false">E14*$B14/400</f>
        <v>0.225</v>
      </c>
      <c r="F23" s="14" t="n">
        <f aca="false">F14*$B14/400</f>
        <v>0.3</v>
      </c>
      <c r="G23" s="14" t="n">
        <f aca="false">G14*$B14/400</f>
        <v>0.3</v>
      </c>
      <c r="H23" s="14" t="n">
        <f aca="false">H14*$B14/400</f>
        <v>0.375</v>
      </c>
      <c r="I23" s="14" t="n">
        <f aca="false">I14*$B14/400</f>
        <v>0.375</v>
      </c>
      <c r="J23" s="14" t="n">
        <f aca="false">J14*$B14/400</f>
        <v>0.375</v>
      </c>
      <c r="K23" s="14" t="n">
        <f aca="false">K14*$B14/400</f>
        <v>0.375</v>
      </c>
      <c r="L23" s="14" t="n">
        <f aca="false">L14*$B14/400</f>
        <v>0.375</v>
      </c>
      <c r="M23" s="14" t="n">
        <f aca="false">M14*$B14/400</f>
        <v>0.375</v>
      </c>
      <c r="N23" s="14" t="n">
        <f aca="false">N14*$B14/400</f>
        <v>0.375</v>
      </c>
      <c r="O23" s="14" t="n">
        <f aca="false">O14*$B14/400</f>
        <v>0.375</v>
      </c>
      <c r="P23" s="14" t="n">
        <f aca="false">P14*$B14/400</f>
        <v>0.375</v>
      </c>
      <c r="Q23" s="14" t="n">
        <f aca="false">Q14*$B14/400</f>
        <v>0.375</v>
      </c>
      <c r="R23" s="14" t="n">
        <f aca="false">R14*$B14/400</f>
        <v>0.375</v>
      </c>
      <c r="S23" s="14" t="n">
        <f aca="false">SUM(C23:R23)</f>
        <v>5.325</v>
      </c>
    </row>
    <row r="24" customFormat="false" ht="15" hidden="false" customHeight="false" outlineLevel="0" collapsed="false">
      <c r="A24" s="23" t="s">
        <v>191</v>
      </c>
      <c r="C24" s="25" t="n">
        <f aca="false">SUM(C17:C23)</f>
        <v>2.22</v>
      </c>
      <c r="D24" s="25" t="n">
        <f aca="false">SUM(D17:D23)</f>
        <v>3.455</v>
      </c>
      <c r="E24" s="25" t="n">
        <f aca="false">SUM(E17:E23)</f>
        <v>4.14</v>
      </c>
      <c r="F24" s="25" t="n">
        <f aca="false">SUM(F17:F23)</f>
        <v>4.77</v>
      </c>
      <c r="G24" s="25" t="n">
        <f aca="false">SUM(G17:G23)</f>
        <v>5.2</v>
      </c>
      <c r="H24" s="25" t="n">
        <f aca="false">SUM(H17:H23)</f>
        <v>5.67</v>
      </c>
      <c r="I24" s="25" t="n">
        <f aca="false">SUM(I17:I23)</f>
        <v>5.765</v>
      </c>
      <c r="J24" s="25" t="n">
        <f aca="false">SUM(J17:J23)</f>
        <v>5.765</v>
      </c>
      <c r="K24" s="25" t="n">
        <f aca="false">SUM(K17:K23)</f>
        <v>5.765</v>
      </c>
      <c r="L24" s="25" t="n">
        <f aca="false">SUM(L17:L23)</f>
        <v>5.765</v>
      </c>
      <c r="M24" s="25" t="n">
        <f aca="false">SUM(M17:M23)</f>
        <v>5.765</v>
      </c>
      <c r="N24" s="25" t="n">
        <f aca="false">SUM(N17:N23)</f>
        <v>5.765</v>
      </c>
      <c r="O24" s="25" t="n">
        <f aca="false">SUM(O17:O23)</f>
        <v>5.66</v>
      </c>
      <c r="P24" s="25" t="n">
        <f aca="false">SUM(P17:P23)</f>
        <v>5.66</v>
      </c>
      <c r="Q24" s="25" t="n">
        <f aca="false">SUM(Q17:Q23)</f>
        <v>5.66</v>
      </c>
      <c r="R24" s="25" t="n">
        <f aca="false">SUM(R17:R23)</f>
        <v>5.66</v>
      </c>
      <c r="S24" s="25" t="n">
        <f aca="false">SUM(S17:S23)</f>
        <v>82.685</v>
      </c>
    </row>
    <row r="26" customFormat="false" ht="15" hidden="false" customHeight="false" outlineLevel="0" collapsed="false">
      <c r="A26" s="7" t="s">
        <v>145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" hidden="false" customHeight="false" outlineLevel="0" collapsed="false">
      <c r="A27" s="9" t="s">
        <v>192</v>
      </c>
      <c r="B27" s="37" t="n">
        <f aca="false">Inputs!B16</f>
        <v>100</v>
      </c>
      <c r="C27" s="38" t="n">
        <v>20</v>
      </c>
      <c r="D27" s="38" t="n">
        <v>40</v>
      </c>
      <c r="E27" s="38" t="n">
        <v>60</v>
      </c>
      <c r="F27" s="38" t="n">
        <v>80</v>
      </c>
      <c r="G27" s="38" t="n">
        <v>100</v>
      </c>
      <c r="H27" s="38" t="n">
        <v>100</v>
      </c>
      <c r="I27" s="38" t="n">
        <v>100</v>
      </c>
      <c r="J27" s="38" t="n">
        <v>100</v>
      </c>
      <c r="K27" s="38" t="n">
        <v>100</v>
      </c>
      <c r="L27" s="38" t="n">
        <v>100</v>
      </c>
      <c r="M27" s="38" t="n">
        <v>100</v>
      </c>
      <c r="N27" s="38" t="n">
        <v>100</v>
      </c>
      <c r="O27" s="38" t="n">
        <v>60</v>
      </c>
      <c r="P27" s="38" t="n">
        <v>60</v>
      </c>
      <c r="Q27" s="38" t="n">
        <v>60</v>
      </c>
      <c r="R27" s="38" t="n">
        <v>60</v>
      </c>
      <c r="S27" s="39" t="n">
        <f aca="false">SUM(C27:R27)</f>
        <v>1240</v>
      </c>
    </row>
    <row r="28" customFormat="false" ht="15" hidden="false" customHeight="false" outlineLevel="0" collapsed="false">
      <c r="A28" s="9" t="s">
        <v>193</v>
      </c>
      <c r="C28" s="14" t="n">
        <f aca="false">C27*$B$27/10000</f>
        <v>0.2</v>
      </c>
      <c r="D28" s="14" t="n">
        <f aca="false">D27*$B$27/10000</f>
        <v>0.4</v>
      </c>
      <c r="E28" s="14" t="n">
        <f aca="false">E27*$B$27/10000</f>
        <v>0.6</v>
      </c>
      <c r="F28" s="14" t="n">
        <f aca="false">F27*$B$27/10000</f>
        <v>0.8</v>
      </c>
      <c r="G28" s="14" t="n">
        <f aca="false">G27*$B$27/10000</f>
        <v>1</v>
      </c>
      <c r="H28" s="14" t="n">
        <f aca="false">H27*$B$27/10000</f>
        <v>1</v>
      </c>
      <c r="I28" s="14" t="n">
        <f aca="false">I27*$B$27/10000</f>
        <v>1</v>
      </c>
      <c r="J28" s="14" t="n">
        <f aca="false">J27*$B$27/10000</f>
        <v>1</v>
      </c>
      <c r="K28" s="14" t="n">
        <f aca="false">K27*$B$27/10000</f>
        <v>1</v>
      </c>
      <c r="L28" s="14" t="n">
        <f aca="false">L27*$B$27/10000</f>
        <v>1</v>
      </c>
      <c r="M28" s="14" t="n">
        <f aca="false">M27*$B$27/10000</f>
        <v>1</v>
      </c>
      <c r="N28" s="14" t="n">
        <f aca="false">N27*$B$27/10000</f>
        <v>1</v>
      </c>
      <c r="O28" s="14" t="n">
        <f aca="false">O27*$B$27/10000</f>
        <v>0.6</v>
      </c>
      <c r="P28" s="14" t="n">
        <f aca="false">P27*$B$27/10000</f>
        <v>0.6</v>
      </c>
      <c r="Q28" s="14" t="n">
        <f aca="false">Q27*$B$27/10000</f>
        <v>0.6</v>
      </c>
      <c r="R28" s="14" t="n">
        <f aca="false">R27*$B$27/10000</f>
        <v>0.6</v>
      </c>
      <c r="S28" s="14" t="n">
        <f aca="false">SUM(C28:R28)</f>
        <v>12.4</v>
      </c>
    </row>
    <row r="30" customFormat="false" ht="15" hidden="false" customHeight="false" outlineLevel="0" collapsed="false">
      <c r="A30" s="7" t="s">
        <v>194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" hidden="false" customHeight="false" outlineLevel="0" collapsed="false">
      <c r="A31" s="9" t="s">
        <v>195</v>
      </c>
      <c r="C31" s="40" t="n">
        <v>0.2</v>
      </c>
      <c r="D31" s="40" t="n">
        <v>0.3</v>
      </c>
      <c r="E31" s="40" t="n">
        <v>0.4</v>
      </c>
      <c r="F31" s="40" t="n">
        <v>0.5</v>
      </c>
      <c r="G31" s="40" t="n">
        <v>0.5</v>
      </c>
      <c r="H31" s="40" t="n">
        <v>0.5</v>
      </c>
      <c r="I31" s="40" t="n">
        <v>0.5</v>
      </c>
      <c r="J31" s="40" t="n">
        <v>0.5</v>
      </c>
      <c r="K31" s="40" t="n">
        <v>0.4</v>
      </c>
      <c r="L31" s="40" t="n">
        <v>0.4</v>
      </c>
      <c r="M31" s="40" t="n">
        <v>0.4</v>
      </c>
      <c r="N31" s="40" t="n">
        <v>0.4</v>
      </c>
      <c r="O31" s="40" t="n">
        <v>0.3</v>
      </c>
      <c r="P31" s="40" t="n">
        <v>0.3</v>
      </c>
      <c r="Q31" s="40" t="n">
        <v>0.3</v>
      </c>
      <c r="R31" s="40" t="n">
        <v>0.3</v>
      </c>
      <c r="S31" s="14" t="n">
        <f aca="false">SUM(C31:R31)</f>
        <v>6.2</v>
      </c>
    </row>
    <row r="32" customFormat="false" ht="15" hidden="false" customHeight="false" outlineLevel="0" collapsed="false">
      <c r="A32" s="9" t="s">
        <v>149</v>
      </c>
      <c r="C32" s="40" t="n">
        <v>0.3</v>
      </c>
      <c r="D32" s="40" t="n">
        <v>0.5</v>
      </c>
      <c r="E32" s="40" t="n">
        <v>0.7</v>
      </c>
      <c r="F32" s="40" t="n">
        <v>0.9</v>
      </c>
      <c r="G32" s="40" t="n">
        <v>0.7</v>
      </c>
      <c r="H32" s="40" t="n">
        <v>0.6</v>
      </c>
      <c r="I32" s="40" t="n">
        <v>0.6</v>
      </c>
      <c r="J32" s="40" t="n">
        <v>0.6</v>
      </c>
      <c r="K32" s="40" t="n">
        <v>0.5</v>
      </c>
      <c r="L32" s="40" t="n">
        <v>0.5</v>
      </c>
      <c r="M32" s="40" t="n">
        <v>0.5</v>
      </c>
      <c r="N32" s="40" t="n">
        <v>0.5</v>
      </c>
      <c r="O32" s="40" t="n">
        <v>0.4</v>
      </c>
      <c r="P32" s="40" t="n">
        <v>0.4</v>
      </c>
      <c r="Q32" s="40" t="n">
        <v>0.4</v>
      </c>
      <c r="R32" s="40" t="n">
        <v>0.4</v>
      </c>
      <c r="S32" s="14" t="n">
        <f aca="false">SUM(C32:R32)</f>
        <v>8.5</v>
      </c>
    </row>
    <row r="33" customFormat="false" ht="15" hidden="false" customHeight="false" outlineLevel="0" collapsed="false">
      <c r="A33" s="9" t="s">
        <v>151</v>
      </c>
      <c r="C33" s="40" t="n">
        <v>0.3</v>
      </c>
      <c r="D33" s="40" t="n">
        <v>0.4</v>
      </c>
      <c r="E33" s="40" t="n">
        <v>0.5</v>
      </c>
      <c r="F33" s="40" t="n">
        <v>0.7</v>
      </c>
      <c r="G33" s="40" t="n">
        <v>0.7</v>
      </c>
      <c r="H33" s="40" t="n">
        <v>0.7</v>
      </c>
      <c r="I33" s="40" t="n">
        <v>0.7</v>
      </c>
      <c r="J33" s="40" t="n">
        <v>0.7</v>
      </c>
      <c r="K33" s="40" t="n">
        <v>0.6</v>
      </c>
      <c r="L33" s="40" t="n">
        <v>0.6</v>
      </c>
      <c r="M33" s="40" t="n">
        <v>0.6</v>
      </c>
      <c r="N33" s="40" t="n">
        <v>0.6</v>
      </c>
      <c r="O33" s="40" t="n">
        <v>0.5</v>
      </c>
      <c r="P33" s="40" t="n">
        <v>0.5</v>
      </c>
      <c r="Q33" s="40" t="n">
        <v>0.5</v>
      </c>
      <c r="R33" s="40" t="n">
        <v>0.5</v>
      </c>
      <c r="S33" s="14" t="n">
        <f aca="false">SUM(C33:R33)</f>
        <v>9.1</v>
      </c>
    </row>
    <row r="34" customFormat="false" ht="15" hidden="false" customHeight="false" outlineLevel="0" collapsed="false">
      <c r="A34" s="9" t="s">
        <v>196</v>
      </c>
      <c r="C34" s="40" t="n">
        <v>0.6</v>
      </c>
      <c r="D34" s="40" t="n">
        <v>0.5</v>
      </c>
      <c r="E34" s="40" t="n">
        <v>0.5</v>
      </c>
      <c r="F34" s="40" t="n">
        <v>0.5</v>
      </c>
      <c r="G34" s="40" t="n">
        <v>0.4</v>
      </c>
      <c r="H34" s="40" t="n">
        <v>0.4</v>
      </c>
      <c r="I34" s="40" t="n">
        <v>0.4</v>
      </c>
      <c r="J34" s="40" t="n">
        <v>0.4</v>
      </c>
      <c r="K34" s="40" t="n">
        <v>0.4</v>
      </c>
      <c r="L34" s="40" t="n">
        <v>0.4</v>
      </c>
      <c r="M34" s="40" t="n">
        <v>0.4</v>
      </c>
      <c r="N34" s="40" t="n">
        <v>0.4</v>
      </c>
      <c r="O34" s="40" t="n">
        <v>0.3</v>
      </c>
      <c r="P34" s="40" t="n">
        <v>0.3</v>
      </c>
      <c r="Q34" s="40" t="n">
        <v>0.3</v>
      </c>
      <c r="R34" s="40" t="n">
        <v>0.3</v>
      </c>
      <c r="S34" s="14" t="n">
        <f aca="false">SUM(C34:R34)</f>
        <v>6.5</v>
      </c>
    </row>
    <row r="35" customFormat="false" ht="15" hidden="false" customHeight="false" outlineLevel="0" collapsed="false">
      <c r="A35" s="9" t="s">
        <v>197</v>
      </c>
      <c r="C35" s="40" t="n">
        <v>0</v>
      </c>
      <c r="D35" s="40" t="n">
        <v>0.3</v>
      </c>
      <c r="E35" s="40" t="n">
        <v>0.6</v>
      </c>
      <c r="F35" s="40" t="n">
        <v>1</v>
      </c>
      <c r="G35" s="40" t="n">
        <v>1.2</v>
      </c>
      <c r="H35" s="40" t="n">
        <v>1.2</v>
      </c>
      <c r="I35" s="40" t="n">
        <v>1.2</v>
      </c>
      <c r="J35" s="40" t="n">
        <v>1.2</v>
      </c>
      <c r="K35" s="40" t="n">
        <v>1.2</v>
      </c>
      <c r="L35" s="40" t="n">
        <v>1.2</v>
      </c>
      <c r="M35" s="40" t="n">
        <v>1.2</v>
      </c>
      <c r="N35" s="40" t="n">
        <v>1.2</v>
      </c>
      <c r="O35" s="40" t="n">
        <v>0.8</v>
      </c>
      <c r="P35" s="40" t="n">
        <v>0.8</v>
      </c>
      <c r="Q35" s="40" t="n">
        <v>0.8</v>
      </c>
      <c r="R35" s="40" t="n">
        <v>0.8</v>
      </c>
      <c r="S35" s="14" t="n">
        <f aca="false">SUM(C35:R35)</f>
        <v>14.7</v>
      </c>
    </row>
    <row r="36" customFormat="false" ht="15" hidden="false" customHeight="false" outlineLevel="0" collapsed="false">
      <c r="A36" s="9" t="s">
        <v>157</v>
      </c>
      <c r="C36" s="40" t="n">
        <v>0.1</v>
      </c>
      <c r="D36" s="40" t="n">
        <v>0.2</v>
      </c>
      <c r="E36" s="40" t="n">
        <v>0.3</v>
      </c>
      <c r="F36" s="40" t="n">
        <v>0.4</v>
      </c>
      <c r="G36" s="40" t="n">
        <v>0.6</v>
      </c>
      <c r="H36" s="40" t="n">
        <v>0.7</v>
      </c>
      <c r="I36" s="40" t="n">
        <v>0.8</v>
      </c>
      <c r="J36" s="40" t="n">
        <v>0.8</v>
      </c>
      <c r="K36" s="40" t="n">
        <v>0.6</v>
      </c>
      <c r="L36" s="40" t="n">
        <v>0.5</v>
      </c>
      <c r="M36" s="40" t="n">
        <v>0.5</v>
      </c>
      <c r="N36" s="40" t="n">
        <v>0.4</v>
      </c>
      <c r="O36" s="40" t="n">
        <v>0.3</v>
      </c>
      <c r="P36" s="40" t="n">
        <v>0.3</v>
      </c>
      <c r="Q36" s="40" t="n">
        <v>0.3</v>
      </c>
      <c r="R36" s="40" t="n">
        <v>0.3</v>
      </c>
      <c r="S36" s="14" t="n">
        <f aca="false">SUM(C36:R36)</f>
        <v>7.1</v>
      </c>
    </row>
    <row r="37" customFormat="false" ht="15" hidden="false" customHeight="false" outlineLevel="0" collapsed="false">
      <c r="A37" s="9" t="s">
        <v>159</v>
      </c>
      <c r="C37" s="40" t="n">
        <v>0.2</v>
      </c>
      <c r="D37" s="40" t="n">
        <v>0.2</v>
      </c>
      <c r="E37" s="40" t="n">
        <v>0.2</v>
      </c>
      <c r="F37" s="40" t="n">
        <v>0.2</v>
      </c>
      <c r="G37" s="40" t="n">
        <v>0.2</v>
      </c>
      <c r="H37" s="40" t="n">
        <v>0.2</v>
      </c>
      <c r="I37" s="40" t="n">
        <v>0.2</v>
      </c>
      <c r="J37" s="40" t="n">
        <v>0.2</v>
      </c>
      <c r="K37" s="40" t="n">
        <v>0.2</v>
      </c>
      <c r="L37" s="40" t="n">
        <v>0.2</v>
      </c>
      <c r="M37" s="40" t="n">
        <v>0.2</v>
      </c>
      <c r="N37" s="40" t="n">
        <v>0.2</v>
      </c>
      <c r="O37" s="40" t="n">
        <v>0.2</v>
      </c>
      <c r="P37" s="40" t="n">
        <v>0.2</v>
      </c>
      <c r="Q37" s="40" t="n">
        <v>0.2</v>
      </c>
      <c r="R37" s="40" t="n">
        <v>0.2</v>
      </c>
      <c r="S37" s="14" t="n">
        <f aca="false">SUM(C37:R37)</f>
        <v>3.2</v>
      </c>
    </row>
    <row r="38" customFormat="false" ht="15" hidden="false" customHeight="false" outlineLevel="0" collapsed="false">
      <c r="A38" s="9" t="s">
        <v>161</v>
      </c>
      <c r="C38" s="40" t="n">
        <v>0.2</v>
      </c>
      <c r="D38" s="40" t="n">
        <v>0.3</v>
      </c>
      <c r="E38" s="40" t="n">
        <v>0.35</v>
      </c>
      <c r="F38" s="40" t="n">
        <v>0.4</v>
      </c>
      <c r="G38" s="40" t="n">
        <v>0.5</v>
      </c>
      <c r="H38" s="40" t="n">
        <v>0.5</v>
      </c>
      <c r="I38" s="40" t="n">
        <v>0.5</v>
      </c>
      <c r="J38" s="40" t="n">
        <v>0.5</v>
      </c>
      <c r="K38" s="40" t="n">
        <v>0.5</v>
      </c>
      <c r="L38" s="40" t="n">
        <v>0.5</v>
      </c>
      <c r="M38" s="40" t="n">
        <v>0.5</v>
      </c>
      <c r="N38" s="40" t="n">
        <v>0.5</v>
      </c>
      <c r="O38" s="40" t="n">
        <v>0.4</v>
      </c>
      <c r="P38" s="40" t="n">
        <v>0.4</v>
      </c>
      <c r="Q38" s="40" t="n">
        <v>0.4</v>
      </c>
      <c r="R38" s="40" t="n">
        <v>0.4</v>
      </c>
      <c r="S38" s="14" t="n">
        <f aca="false">SUM(C38:R38)</f>
        <v>6.85</v>
      </c>
    </row>
    <row r="39" customFormat="false" ht="15" hidden="false" customHeight="false" outlineLevel="0" collapsed="false">
      <c r="A39" s="9" t="s">
        <v>163</v>
      </c>
      <c r="C39" s="40" t="n">
        <v>0</v>
      </c>
      <c r="D39" s="40" t="n">
        <v>0</v>
      </c>
      <c r="E39" s="40" t="n">
        <v>0.1</v>
      </c>
      <c r="F39" s="40" t="n">
        <v>0.2</v>
      </c>
      <c r="G39" s="40" t="n">
        <v>0.3</v>
      </c>
      <c r="H39" s="40" t="n">
        <v>0.3</v>
      </c>
      <c r="I39" s="40" t="n">
        <v>0.3</v>
      </c>
      <c r="J39" s="40" t="n">
        <v>0.3</v>
      </c>
      <c r="K39" s="40" t="n">
        <v>0.3</v>
      </c>
      <c r="L39" s="40" t="n">
        <v>0.3</v>
      </c>
      <c r="M39" s="40" t="n">
        <v>0.3</v>
      </c>
      <c r="N39" s="40" t="n">
        <v>0.3</v>
      </c>
      <c r="O39" s="40" t="n">
        <v>0.2</v>
      </c>
      <c r="P39" s="40" t="n">
        <v>0.2</v>
      </c>
      <c r="Q39" s="40" t="n">
        <v>0.2</v>
      </c>
      <c r="R39" s="40" t="n">
        <v>0.2</v>
      </c>
      <c r="S39" s="14" t="n">
        <f aca="false">SUM(C39:R39)</f>
        <v>3.5</v>
      </c>
    </row>
    <row r="41" customFormat="false" ht="15" hidden="false" customHeight="false" outlineLevel="0" collapsed="false">
      <c r="A41" s="23" t="s">
        <v>198</v>
      </c>
      <c r="C41" s="25" t="n">
        <f aca="false">C24+C28+SUM(C31:C39)</f>
        <v>4.32</v>
      </c>
      <c r="D41" s="25" t="n">
        <f aca="false">D24+D28+SUM(D31:D39)</f>
        <v>6.555</v>
      </c>
      <c r="E41" s="25" t="n">
        <f aca="false">E24+E28+SUM(E31:E39)</f>
        <v>8.39</v>
      </c>
      <c r="F41" s="25" t="n">
        <f aca="false">F24+F28+SUM(F31:F39)</f>
        <v>10.37</v>
      </c>
      <c r="G41" s="25" t="n">
        <f aca="false">G24+G28+SUM(G31:G39)</f>
        <v>11.3</v>
      </c>
      <c r="H41" s="25" t="n">
        <f aca="false">H24+H28+SUM(H31:H39)</f>
        <v>11.77</v>
      </c>
      <c r="I41" s="25" t="n">
        <f aca="false">I24+I28+SUM(I31:I39)</f>
        <v>11.965</v>
      </c>
      <c r="J41" s="25" t="n">
        <f aca="false">J24+J28+SUM(J31:J39)</f>
        <v>11.965</v>
      </c>
      <c r="K41" s="25" t="n">
        <f aca="false">K24+K28+SUM(K31:K39)</f>
        <v>11.465</v>
      </c>
      <c r="L41" s="25" t="n">
        <f aca="false">L24+L28+SUM(L31:L39)</f>
        <v>11.365</v>
      </c>
      <c r="M41" s="25" t="n">
        <f aca="false">M24+M28+SUM(M31:M39)</f>
        <v>11.365</v>
      </c>
      <c r="N41" s="25" t="n">
        <f aca="false">N24+N28+SUM(N31:N39)</f>
        <v>11.265</v>
      </c>
      <c r="O41" s="25" t="n">
        <f aca="false">O24+O28+SUM(O31:O39)</f>
        <v>9.66</v>
      </c>
      <c r="P41" s="25" t="n">
        <f aca="false">P24+P28+SUM(P31:P39)</f>
        <v>9.66</v>
      </c>
      <c r="Q41" s="25" t="n">
        <f aca="false">Q24+Q28+SUM(Q31:Q39)</f>
        <v>9.66</v>
      </c>
      <c r="R41" s="25" t="n">
        <f aca="false">R24+R28+SUM(R31:R39)</f>
        <v>9.66</v>
      </c>
      <c r="S41" s="25" t="n">
        <f aca="false">S24+S28+SUM(S31:S39)</f>
        <v>160.735</v>
      </c>
    </row>
    <row r="43" customFormat="false" ht="15" hidden="false" customHeight="false" outlineLevel="0" collapsed="false">
      <c r="A43" s="7" t="s">
        <v>199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customFormat="false" ht="15" hidden="false" customHeight="false" outlineLevel="0" collapsed="false">
      <c r="A44" s="9" t="s">
        <v>172</v>
      </c>
      <c r="C44" s="31" t="n">
        <f aca="false">SUMIF(Inputs!$C$23:$C$26,C$4,Inputs!$E$23:$E$26)</f>
        <v>45</v>
      </c>
      <c r="D44" s="31" t="n">
        <f aca="false">SUMIF(Inputs!$C$23:$C$26,D$4,Inputs!$E$23:$E$26)</f>
        <v>0</v>
      </c>
      <c r="E44" s="31" t="n">
        <f aca="false">SUMIF(Inputs!$C$23:$C$26,E$4,Inputs!$E$23:$E$26)</f>
        <v>0</v>
      </c>
      <c r="F44" s="31" t="n">
        <f aca="false">SUMIF(Inputs!$C$23:$C$26,F$4,Inputs!$E$23:$E$26)</f>
        <v>0</v>
      </c>
      <c r="G44" s="31" t="n">
        <f aca="false">SUMIF(Inputs!$C$23:$C$26,G$4,Inputs!$E$23:$E$26)</f>
        <v>45</v>
      </c>
      <c r="H44" s="31" t="n">
        <f aca="false">SUMIF(Inputs!$C$23:$C$26,H$4,Inputs!$E$23:$E$26)</f>
        <v>0</v>
      </c>
      <c r="I44" s="31" t="n">
        <f aca="false">SUMIF(Inputs!$C$23:$C$26,I$4,Inputs!$E$23:$E$26)</f>
        <v>0</v>
      </c>
      <c r="J44" s="31" t="n">
        <f aca="false">SUMIF(Inputs!$C$23:$C$26,J$4,Inputs!$E$23:$E$26)</f>
        <v>0</v>
      </c>
      <c r="K44" s="31" t="n">
        <f aca="false">SUMIF(Inputs!$C$23:$C$26,K$4,Inputs!$E$23:$E$26)</f>
        <v>45</v>
      </c>
      <c r="L44" s="31" t="n">
        <f aca="false">SUMIF(Inputs!$C$23:$C$26,L$4,Inputs!$E$23:$E$26)</f>
        <v>0</v>
      </c>
      <c r="M44" s="31" t="n">
        <f aca="false">SUMIF(Inputs!$C$23:$C$26,M$4,Inputs!$E$23:$E$26)</f>
        <v>0</v>
      </c>
      <c r="N44" s="31" t="n">
        <f aca="false">SUMIF(Inputs!$C$23:$C$26,N$4,Inputs!$E$23:$E$26)</f>
        <v>0</v>
      </c>
      <c r="O44" s="31" t="n">
        <f aca="false">SUMIF(Inputs!$C$23:$C$26,O$4,Inputs!$E$23:$E$26)</f>
        <v>45</v>
      </c>
      <c r="P44" s="31" t="n">
        <f aca="false">SUMIF(Inputs!$C$23:$C$26,P$4,Inputs!$E$23:$E$26)</f>
        <v>0</v>
      </c>
      <c r="Q44" s="31" t="n">
        <f aca="false">SUMIF(Inputs!$C$23:$C$26,Q$4,Inputs!$E$23:$E$26)</f>
        <v>0</v>
      </c>
      <c r="R44" s="31" t="n">
        <f aca="false">SUMIF(Inputs!$C$23:$C$26,R$4,Inputs!$E$23:$E$26)</f>
        <v>0</v>
      </c>
      <c r="S44" s="14" t="n">
        <f aca="false">SUM(C44:R44)</f>
        <v>180</v>
      </c>
    </row>
    <row r="45" customFormat="false" ht="15" hidden="false" customHeight="false" outlineLevel="0" collapsed="false">
      <c r="A45" s="9" t="s">
        <v>200</v>
      </c>
      <c r="C45" s="14" t="n">
        <v>0</v>
      </c>
      <c r="D45" s="14" t="n">
        <f aca="false">C46</f>
        <v>40.68</v>
      </c>
      <c r="E45" s="14" t="n">
        <f aca="false">D46</f>
        <v>34.125</v>
      </c>
      <c r="F45" s="14" t="n">
        <f aca="false">E46</f>
        <v>25.735</v>
      </c>
      <c r="G45" s="14" t="n">
        <f aca="false">F46</f>
        <v>15.365</v>
      </c>
      <c r="H45" s="14" t="n">
        <f aca="false">G46</f>
        <v>49.065</v>
      </c>
      <c r="I45" s="14" t="n">
        <f aca="false">H46</f>
        <v>37.295</v>
      </c>
      <c r="J45" s="14" t="n">
        <f aca="false">I46</f>
        <v>25.33</v>
      </c>
      <c r="K45" s="14" t="n">
        <f aca="false">J46</f>
        <v>13.365</v>
      </c>
      <c r="L45" s="14" t="n">
        <f aca="false">K46</f>
        <v>46.9</v>
      </c>
      <c r="M45" s="14" t="n">
        <f aca="false">L46</f>
        <v>35.535</v>
      </c>
      <c r="N45" s="14" t="n">
        <f aca="false">M46</f>
        <v>24.17</v>
      </c>
      <c r="O45" s="14" t="n">
        <f aca="false">N46</f>
        <v>12.905</v>
      </c>
      <c r="P45" s="14" t="n">
        <f aca="false">O46</f>
        <v>48.245</v>
      </c>
      <c r="Q45" s="14" t="n">
        <f aca="false">P46</f>
        <v>38.585</v>
      </c>
      <c r="R45" s="14" t="n">
        <f aca="false">Q46</f>
        <v>28.925</v>
      </c>
    </row>
    <row r="46" customFormat="false" ht="15" hidden="false" customHeight="false" outlineLevel="0" collapsed="false">
      <c r="A46" s="23" t="s">
        <v>201</v>
      </c>
      <c r="C46" s="25" t="n">
        <f aca="false">C45+C44-C41</f>
        <v>40.68</v>
      </c>
      <c r="D46" s="25" t="n">
        <f aca="false">D45+D44-D41</f>
        <v>34.125</v>
      </c>
      <c r="E46" s="25" t="n">
        <f aca="false">E45+E44-E41</f>
        <v>25.735</v>
      </c>
      <c r="F46" s="25" t="n">
        <f aca="false">F45+F44-F41</f>
        <v>15.365</v>
      </c>
      <c r="G46" s="25" t="n">
        <f aca="false">G45+G44-G41</f>
        <v>49.065</v>
      </c>
      <c r="H46" s="25" t="n">
        <f aca="false">H45+H44-H41</f>
        <v>37.295</v>
      </c>
      <c r="I46" s="25" t="n">
        <f aca="false">I45+I44-I41</f>
        <v>25.33</v>
      </c>
      <c r="J46" s="25" t="n">
        <f aca="false">J45+J44-J41</f>
        <v>13.365</v>
      </c>
      <c r="K46" s="25" t="n">
        <f aca="false">K45+K44-K41</f>
        <v>46.9</v>
      </c>
      <c r="L46" s="25" t="n">
        <f aca="false">L45+L44-L41</f>
        <v>35.535</v>
      </c>
      <c r="M46" s="25" t="n">
        <f aca="false">M45+M44-M41</f>
        <v>24.17</v>
      </c>
      <c r="N46" s="25" t="n">
        <f aca="false">N45+N44-N41</f>
        <v>12.905</v>
      </c>
      <c r="O46" s="25" t="n">
        <f aca="false">O45+O44-O41</f>
        <v>48.245</v>
      </c>
      <c r="P46" s="25" t="n">
        <f aca="false">P45+P44-P41</f>
        <v>38.585</v>
      </c>
      <c r="Q46" s="25" t="n">
        <f aca="false">Q45+Q44-Q41</f>
        <v>28.925</v>
      </c>
      <c r="R46" s="25" t="n">
        <f aca="false">R45+R44-R41</f>
        <v>19.265</v>
      </c>
    </row>
    <row r="47" customFormat="false" ht="15" hidden="false" customHeight="false" outlineLevel="0" collapsed="false">
      <c r="A47" s="9" t="s">
        <v>202</v>
      </c>
      <c r="C47" s="14" t="n">
        <f aca="false">C41</f>
        <v>4.32</v>
      </c>
      <c r="D47" s="14" t="n">
        <f aca="false">C47+D41</f>
        <v>10.875</v>
      </c>
      <c r="E47" s="14" t="n">
        <f aca="false">D47+E41</f>
        <v>19.265</v>
      </c>
      <c r="F47" s="14" t="n">
        <f aca="false">E47+F41</f>
        <v>29.635</v>
      </c>
      <c r="G47" s="14" t="n">
        <f aca="false">F47+G41</f>
        <v>40.935</v>
      </c>
      <c r="H47" s="14" t="n">
        <f aca="false">G47+H41</f>
        <v>52.705</v>
      </c>
      <c r="I47" s="14" t="n">
        <f aca="false">H47+I41</f>
        <v>64.67</v>
      </c>
      <c r="J47" s="14" t="n">
        <f aca="false">I47+J41</f>
        <v>76.635</v>
      </c>
      <c r="K47" s="14" t="n">
        <f aca="false">J47+K41</f>
        <v>88.1</v>
      </c>
      <c r="L47" s="14" t="n">
        <f aca="false">K47+L41</f>
        <v>99.465</v>
      </c>
      <c r="M47" s="14" t="n">
        <f aca="false">L47+M41</f>
        <v>110.83</v>
      </c>
      <c r="N47" s="14" t="n">
        <f aca="false">M47+N41</f>
        <v>122.095</v>
      </c>
      <c r="O47" s="14" t="n">
        <f aca="false">N47+O41</f>
        <v>131.755</v>
      </c>
      <c r="P47" s="14" t="n">
        <f aca="false">O47+P41</f>
        <v>141.415</v>
      </c>
      <c r="Q47" s="14" t="n">
        <f aca="false">P47+Q41</f>
        <v>151.075</v>
      </c>
      <c r="R47" s="14" t="n">
        <f aca="false">Q47+R41</f>
        <v>160.735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8" min="2" style="0" width="12"/>
    <col collapsed="false" customWidth="true" hidden="false" outlineLevel="0" max="9" min="9" style="0" width="48"/>
  </cols>
  <sheetData>
    <row r="1" customFormat="false" ht="17.35" hidden="false" customHeight="false" outlineLevel="0" collapsed="false">
      <c r="A1" s="1" t="s">
        <v>203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5" t="s">
        <v>204</v>
      </c>
    </row>
    <row r="4" customFormat="false" ht="15" hidden="false" customHeight="false" outlineLevel="0" collapsed="false">
      <c r="A4" s="6" t="s">
        <v>29</v>
      </c>
      <c r="B4" s="6" t="s">
        <v>205</v>
      </c>
      <c r="C4" s="6" t="s">
        <v>206</v>
      </c>
      <c r="D4" s="6" t="s">
        <v>207</v>
      </c>
      <c r="E4" s="6" t="s">
        <v>208</v>
      </c>
      <c r="F4" s="6" t="s">
        <v>209</v>
      </c>
      <c r="G4" s="6" t="s">
        <v>210</v>
      </c>
      <c r="H4" s="6" t="s">
        <v>118</v>
      </c>
      <c r="I4" s="6" t="s">
        <v>125</v>
      </c>
    </row>
    <row r="5" customFormat="false" ht="30" hidden="false" customHeight="true" outlineLevel="0" collapsed="false">
      <c r="A5" s="23" t="s">
        <v>211</v>
      </c>
      <c r="B5" s="21" t="s">
        <v>212</v>
      </c>
      <c r="C5" s="21" t="s">
        <v>213</v>
      </c>
      <c r="D5" s="21" t="s">
        <v>214</v>
      </c>
      <c r="E5" s="21" t="s">
        <v>215</v>
      </c>
      <c r="F5" s="21" t="s">
        <v>216</v>
      </c>
      <c r="G5" s="21" t="s">
        <v>216</v>
      </c>
    </row>
    <row r="6" customFormat="false" ht="15" hidden="false" customHeight="false" outlineLevel="0" collapsed="false">
      <c r="A6" s="5" t="s">
        <v>217</v>
      </c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G6" s="34" t="n">
        <v>6</v>
      </c>
    </row>
    <row r="7" customFormat="false" ht="15" hidden="false" customHeight="false" outlineLevel="0" collapsed="false">
      <c r="A7" s="7" t="s">
        <v>218</v>
      </c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9" t="s">
        <v>219</v>
      </c>
      <c r="B8" s="31" t="n">
        <f aca="false">SUMPRODUCT((INT((Inputs!$C$23:$C$26-1)/4)+1=B$6)*Inputs!$E$23:$E$26)</f>
        <v>45</v>
      </c>
      <c r="C8" s="31" t="n">
        <f aca="false">SUMPRODUCT((INT((Inputs!$C$23:$C$26-1)/4)+1=C$6)*Inputs!$E$23:$E$26)</f>
        <v>45</v>
      </c>
      <c r="D8" s="31" t="n">
        <f aca="false">SUMPRODUCT((INT((Inputs!$C$23:$C$26-1)/4)+1=D$6)*Inputs!$E$23:$E$26)</f>
        <v>45</v>
      </c>
      <c r="E8" s="31" t="n">
        <f aca="false">SUMPRODUCT((INT((Inputs!$C$23:$C$26-1)/4)+1=E$6)*Inputs!$E$23:$E$26)</f>
        <v>45</v>
      </c>
      <c r="F8" s="31" t="n">
        <f aca="false">SUMPRODUCT((INT((Inputs!$C$23:$C$26-1)/4)+1=F$6)*Inputs!$E$23:$E$26)</f>
        <v>0</v>
      </c>
      <c r="G8" s="31" t="n">
        <f aca="false">SUMPRODUCT((INT((Inputs!$C$23:$C$26-1)/4)+1=G$6)*Inputs!$E$23:$E$26)</f>
        <v>0</v>
      </c>
      <c r="H8" s="14" t="n">
        <f aca="false">SUM(B8:G8)</f>
        <v>180</v>
      </c>
    </row>
    <row r="9" customFormat="false" ht="15" hidden="false" customHeight="false" outlineLevel="0" collapsed="false">
      <c r="A9" s="9" t="s">
        <v>220</v>
      </c>
      <c r="B9" s="40" t="n">
        <v>0</v>
      </c>
      <c r="C9" s="40" t="n">
        <v>3</v>
      </c>
      <c r="D9" s="40" t="n">
        <v>12</v>
      </c>
      <c r="E9" s="40" t="n">
        <v>30</v>
      </c>
      <c r="F9" s="40" t="n">
        <v>40</v>
      </c>
      <c r="G9" s="40" t="n">
        <v>50</v>
      </c>
      <c r="H9" s="14" t="n">
        <f aca="false">SUM(B9:G9)</f>
        <v>135</v>
      </c>
      <c r="I9" s="5" t="s">
        <v>221</v>
      </c>
    </row>
    <row r="10" customFormat="false" ht="15" hidden="false" customHeight="false" outlineLevel="0" collapsed="false">
      <c r="A10" s="9" t="s">
        <v>222</v>
      </c>
      <c r="B10" s="40" t="n">
        <v>0</v>
      </c>
      <c r="C10" s="40" t="n">
        <v>2</v>
      </c>
      <c r="D10" s="40" t="n">
        <v>2</v>
      </c>
      <c r="E10" s="40" t="n">
        <v>0</v>
      </c>
      <c r="F10" s="40" t="n">
        <v>0</v>
      </c>
      <c r="G10" s="40" t="n">
        <v>0</v>
      </c>
      <c r="H10" s="14" t="n">
        <f aca="false">SUM(B10:G10)</f>
        <v>4</v>
      </c>
      <c r="I10" s="5" t="s">
        <v>223</v>
      </c>
    </row>
    <row r="11" customFormat="false" ht="15" hidden="false" customHeight="false" outlineLevel="0" collapsed="false">
      <c r="A11" s="9" t="s">
        <v>224</v>
      </c>
      <c r="B11" s="40" t="n">
        <v>0</v>
      </c>
      <c r="C11" s="40" t="n">
        <v>0</v>
      </c>
      <c r="D11" s="40" t="n">
        <v>0</v>
      </c>
      <c r="E11" s="40" t="n">
        <v>25</v>
      </c>
      <c r="F11" s="40" t="n">
        <v>0</v>
      </c>
      <c r="G11" s="40" t="n">
        <v>0</v>
      </c>
      <c r="H11" s="14" t="n">
        <f aca="false">SUM(B11:G11)</f>
        <v>25</v>
      </c>
      <c r="I11" s="5" t="s">
        <v>225</v>
      </c>
    </row>
    <row r="12" customFormat="false" ht="15" hidden="false" customHeight="false" outlineLevel="0" collapsed="false">
      <c r="A12" s="9" t="s">
        <v>226</v>
      </c>
      <c r="B12" s="40" t="n">
        <v>0</v>
      </c>
      <c r="C12" s="40" t="n">
        <v>0</v>
      </c>
      <c r="D12" s="40" t="n">
        <v>0</v>
      </c>
      <c r="E12" s="40" t="n">
        <v>0</v>
      </c>
      <c r="F12" s="40" t="n">
        <v>30</v>
      </c>
      <c r="G12" s="40" t="n">
        <v>30</v>
      </c>
      <c r="H12" s="14" t="n">
        <f aca="false">SUM(B12:G12)</f>
        <v>60</v>
      </c>
      <c r="I12" s="5" t="s">
        <v>227</v>
      </c>
    </row>
    <row r="13" customFormat="false" ht="15" hidden="false" customHeight="false" outlineLevel="0" collapsed="false">
      <c r="A13" s="23" t="s">
        <v>228</v>
      </c>
      <c r="B13" s="25" t="n">
        <f aca="false">SUM(B8:B12)</f>
        <v>45</v>
      </c>
      <c r="C13" s="25" t="n">
        <f aca="false">SUM(C8:C12)</f>
        <v>50</v>
      </c>
      <c r="D13" s="25" t="n">
        <f aca="false">SUM(D8:D12)</f>
        <v>59</v>
      </c>
      <c r="E13" s="25" t="n">
        <f aca="false">SUM(E8:E12)</f>
        <v>100</v>
      </c>
      <c r="F13" s="25" t="n">
        <f aca="false">SUM(F8:F12)</f>
        <v>70</v>
      </c>
      <c r="G13" s="25" t="n">
        <f aca="false">SUM(G8:G12)</f>
        <v>80</v>
      </c>
      <c r="H13" s="25" t="n">
        <f aca="false">SUM(B13:G13)</f>
        <v>404</v>
      </c>
    </row>
    <row r="14" customFormat="false" ht="15" hidden="false" customHeight="false" outlineLevel="0" collapsed="false">
      <c r="A14" s="7" t="s">
        <v>229</v>
      </c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9" t="s">
        <v>230</v>
      </c>
      <c r="B15" s="31" t="n">
        <f aca="false">SUMIF(Burn_Plan!$C$5:$R$5,B$6,Burn_Plan!$C$41:$R$41)</f>
        <v>29.635</v>
      </c>
      <c r="C15" s="31" t="n">
        <f aca="false">SUMIF(Burn_Plan!$C$5:$R$5,C$6,Burn_Plan!$C$41:$R$41)</f>
        <v>47</v>
      </c>
      <c r="D15" s="31" t="n">
        <f aca="false">SUMIF(Burn_Plan!$C$5:$R$5,D$6,Burn_Plan!$C$41:$R$41)</f>
        <v>45.46</v>
      </c>
      <c r="E15" s="31" t="n">
        <f aca="false">SUMIF(Burn_Plan!$C$5:$R$5,E$6,Burn_Plan!$C$41:$R$41)</f>
        <v>38.64</v>
      </c>
      <c r="H15" s="14" t="n">
        <f aca="false">SUM(B15:G15)</f>
        <v>160.735</v>
      </c>
    </row>
    <row r="16" customFormat="false" ht="15" hidden="false" customHeight="false" outlineLevel="0" collapsed="false">
      <c r="A16" s="9" t="s">
        <v>231</v>
      </c>
      <c r="B16" s="40" t="n">
        <v>0</v>
      </c>
      <c r="C16" s="40" t="n">
        <v>0</v>
      </c>
      <c r="D16" s="40" t="n">
        <v>0</v>
      </c>
      <c r="E16" s="40" t="n">
        <v>0</v>
      </c>
      <c r="F16" s="40" t="n">
        <v>40</v>
      </c>
      <c r="G16" s="40" t="n">
        <v>40</v>
      </c>
      <c r="H16" s="14" t="n">
        <f aca="false">SUM(B16:G16)</f>
        <v>80</v>
      </c>
      <c r="I16" s="5" t="s">
        <v>232</v>
      </c>
    </row>
    <row r="17" customFormat="false" ht="15" hidden="false" customHeight="false" outlineLevel="0" collapsed="false">
      <c r="A17" s="23" t="s">
        <v>233</v>
      </c>
      <c r="B17" s="25" t="n">
        <f aca="false">B15+B16</f>
        <v>29.635</v>
      </c>
      <c r="C17" s="25" t="n">
        <f aca="false">C15+C16</f>
        <v>47</v>
      </c>
      <c r="D17" s="25" t="n">
        <f aca="false">D15+D16</f>
        <v>45.46</v>
      </c>
      <c r="E17" s="25" t="n">
        <f aca="false">E15+E16</f>
        <v>38.64</v>
      </c>
      <c r="F17" s="25" t="n">
        <f aca="false">F15+F16</f>
        <v>40</v>
      </c>
      <c r="G17" s="25" t="n">
        <f aca="false">G15+G16</f>
        <v>40</v>
      </c>
      <c r="H17" s="25" t="n">
        <f aca="false">SUM(B17:G17)</f>
        <v>240.735</v>
      </c>
    </row>
    <row r="19" customFormat="false" ht="15" hidden="false" customHeight="false" outlineLevel="0" collapsed="false">
      <c r="A19" s="23" t="s">
        <v>234</v>
      </c>
      <c r="B19" s="25" t="n">
        <f aca="false">B13-B17</f>
        <v>15.365</v>
      </c>
      <c r="C19" s="25" t="n">
        <f aca="false">C13-C17</f>
        <v>3</v>
      </c>
      <c r="D19" s="25" t="n">
        <f aca="false">D13-D17</f>
        <v>13.54</v>
      </c>
      <c r="E19" s="25" t="n">
        <f aca="false">E13-E17</f>
        <v>61.36</v>
      </c>
      <c r="F19" s="25" t="n">
        <f aca="false">F13-F17</f>
        <v>30</v>
      </c>
      <c r="G19" s="25" t="n">
        <f aca="false">G13-G17</f>
        <v>40</v>
      </c>
      <c r="H19" s="25" t="n">
        <f aca="false">SUM(B19:G19)</f>
        <v>163.265</v>
      </c>
    </row>
    <row r="20" customFormat="false" ht="15" hidden="false" customHeight="false" outlineLevel="0" collapsed="false">
      <c r="A20" s="23" t="s">
        <v>235</v>
      </c>
      <c r="B20" s="25" t="n">
        <f aca="false">B19</f>
        <v>15.365</v>
      </c>
      <c r="C20" s="25" t="n">
        <f aca="false">B20+C19</f>
        <v>18.365</v>
      </c>
      <c r="D20" s="25" t="n">
        <f aca="false">C20+D19</f>
        <v>31.905</v>
      </c>
      <c r="E20" s="25" t="n">
        <f aca="false">D20+E19</f>
        <v>93.265</v>
      </c>
      <c r="F20" s="25" t="n">
        <f aca="false">E20+F19</f>
        <v>123.265</v>
      </c>
      <c r="G20" s="25" t="n">
        <f aca="false">F20+G19</f>
        <v>163.265</v>
      </c>
    </row>
    <row r="21" customFormat="false" ht="15" hidden="false" customHeight="false" outlineLevel="0" collapsed="false">
      <c r="A21" s="9" t="s">
        <v>236</v>
      </c>
      <c r="B21" s="14" t="n">
        <f aca="false">B8-B17</f>
        <v>15.365</v>
      </c>
      <c r="C21" s="14" t="n">
        <f aca="false">B21+C8-C17</f>
        <v>13.365</v>
      </c>
      <c r="D21" s="14" t="n">
        <f aca="false">C21+D8-D17</f>
        <v>12.905</v>
      </c>
      <c r="E21" s="14" t="n">
        <f aca="false">D21+E8-E17</f>
        <v>19.265</v>
      </c>
      <c r="F21" s="14" t="n">
        <f aca="false">E21+F8-F17</f>
        <v>-20.735</v>
      </c>
      <c r="G21" s="14" t="n">
        <f aca="false">F21+G8-G17</f>
        <v>-60.735</v>
      </c>
      <c r="I21" s="5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10" min="7" style="0" width="12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9" min="14" style="0" width="12"/>
  </cols>
  <sheetData>
    <row r="1" customFormat="false" ht="17.35" hidden="false" customHeight="false" outlineLevel="0" collapsed="false">
      <c r="A1" s="1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5" t="s">
        <v>239</v>
      </c>
    </row>
    <row r="4" customFormat="false" ht="42" hidden="false" customHeight="true" outlineLevel="0" collapsed="false">
      <c r="A4" s="6" t="s">
        <v>82</v>
      </c>
      <c r="B4" s="6" t="s">
        <v>240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6" t="s">
        <v>246</v>
      </c>
      <c r="I4" s="6" t="s">
        <v>247</v>
      </c>
      <c r="J4" s="6" t="s">
        <v>248</v>
      </c>
      <c r="K4" s="6" t="s">
        <v>249</v>
      </c>
      <c r="L4" s="6" t="s">
        <v>250</v>
      </c>
      <c r="M4" s="6" t="s">
        <v>251</v>
      </c>
      <c r="N4" s="6" t="s">
        <v>252</v>
      </c>
      <c r="O4" s="6" t="s">
        <v>253</v>
      </c>
      <c r="P4" s="6" t="s">
        <v>254</v>
      </c>
      <c r="Q4" s="6" t="s">
        <v>255</v>
      </c>
      <c r="R4" s="6" t="s">
        <v>256</v>
      </c>
      <c r="S4" s="6" t="s">
        <v>257</v>
      </c>
    </row>
    <row r="5" customFormat="false" ht="30" hidden="false" customHeight="true" outlineLevel="0" collapsed="false">
      <c r="A5" s="41" t="str">
        <f aca="false">Inputs!A30</f>
        <v>S1 Co-creation: X becomes the continuity layer in the Co-Creator platform / JV</v>
      </c>
      <c r="B5" s="32" t="str">
        <f aca="false">Inputs!B30</f>
        <v>S</v>
      </c>
      <c r="C5" s="29" t="n">
        <f aca="false">Inputs!C30</f>
        <v>0.05</v>
      </c>
      <c r="D5" s="14" t="n">
        <f aca="false">SUMIF(Inputs!$H$23:$H$26,"&lt;="&amp;Inputs!F30,Inputs!$E$23:$E$26)</f>
        <v>180</v>
      </c>
      <c r="E5" s="42" t="n">
        <f aca="false">SUMPRODUCT((Inputs!$H$23:$H$26&lt;=Inputs!F30)*Inputs!$E$23:$E$26/Inputs!$I$23:$I$26)</f>
        <v>0.03</v>
      </c>
      <c r="F5" s="42" t="n">
        <f aca="false">E5*(1-Inputs!E30)</f>
        <v>0.021</v>
      </c>
      <c r="G5" s="30" t="n">
        <f aca="false">Inputs!D30</f>
        <v>90000</v>
      </c>
      <c r="H5" s="14" t="n">
        <f aca="false">F5*G5</f>
        <v>1890</v>
      </c>
      <c r="I5" s="14" t="n">
        <f aca="false">Inputs!H30*D5</f>
        <v>180</v>
      </c>
      <c r="J5" s="14" t="n">
        <f aca="false">IF(B5="S",MAX(H5,MIN(I5,G5)),D5*Inputs!I30)</f>
        <v>1890</v>
      </c>
      <c r="K5" s="43" t="n">
        <f aca="false">IF(D5&gt;0,J5/D5,0)</f>
        <v>10.5</v>
      </c>
      <c r="L5" s="44" t="n">
        <f aca="false">Inputs!G30</f>
        <v>6</v>
      </c>
      <c r="M5" s="13" t="n">
        <f aca="false">IF(K5&gt;0,K5^(1/L5)-1,-1)</f>
        <v>0.479783622677297</v>
      </c>
      <c r="N5" s="14" t="n">
        <f aca="false">C5*J5</f>
        <v>94.5</v>
      </c>
      <c r="O5" s="14" t="n">
        <f aca="false">C5*D5</f>
        <v>9</v>
      </c>
      <c r="P5" s="14" t="n">
        <f aca="false">J5/(1+Inputs!$B$14)^L5</f>
        <v>391.563038852376</v>
      </c>
      <c r="Q5" s="14" t="n">
        <f aca="false">SUMPRODUCT((Inputs!$H$23:$H$26&lt;=Inputs!F30)*Inputs!$E$23:$E$26/(1+Inputs!$B$14)^Inputs!$D$23:$D$26)</f>
        <v>126.725079654074</v>
      </c>
      <c r="R5" s="14" t="n">
        <f aca="false">C5*P5</f>
        <v>19.5781519426188</v>
      </c>
      <c r="S5" s="14" t="n">
        <f aca="false">C5*Q5</f>
        <v>6.33625398270369</v>
      </c>
    </row>
    <row r="6" customFormat="false" ht="30" hidden="false" customHeight="true" outlineLevel="0" collapsed="false">
      <c r="A6" s="41" t="str">
        <f aca="false">Inputs!A31</f>
        <v>S2 IP / platform sale or exclusive licence to Co-Creator</v>
      </c>
      <c r="B6" s="32" t="str">
        <f aca="false">Inputs!B31</f>
        <v>S</v>
      </c>
      <c r="C6" s="29" t="n">
        <f aca="false">Inputs!C31</f>
        <v>0.1</v>
      </c>
      <c r="D6" s="14" t="n">
        <f aca="false">SUMIF(Inputs!$H$23:$H$26,"&lt;="&amp;Inputs!F31,Inputs!$E$23:$E$26)</f>
        <v>180</v>
      </c>
      <c r="E6" s="42" t="n">
        <f aca="false">SUMPRODUCT((Inputs!$H$23:$H$26&lt;=Inputs!F31)*Inputs!$E$23:$E$26/Inputs!$I$23:$I$26)</f>
        <v>0.03</v>
      </c>
      <c r="F6" s="42" t="n">
        <f aca="false">E6*(1-Inputs!E31)</f>
        <v>0.0255</v>
      </c>
      <c r="G6" s="30" t="n">
        <f aca="false">Inputs!D31</f>
        <v>30000</v>
      </c>
      <c r="H6" s="14" t="n">
        <f aca="false">F6*G6</f>
        <v>765</v>
      </c>
      <c r="I6" s="14" t="n">
        <f aca="false">Inputs!H31*D6</f>
        <v>180</v>
      </c>
      <c r="J6" s="14" t="n">
        <f aca="false">IF(B6="S",MAX(H6,MIN(I6,G6)),D6*Inputs!I31)</f>
        <v>765</v>
      </c>
      <c r="K6" s="43" t="n">
        <f aca="false">IF(D6&gt;0,J6/D6,0)</f>
        <v>4.25</v>
      </c>
      <c r="L6" s="44" t="n">
        <f aca="false">Inputs!G31</f>
        <v>5</v>
      </c>
      <c r="M6" s="13" t="n">
        <f aca="false">IF(K6&gt;0,K6^(1/L6)-1,-1)</f>
        <v>0.33560423051957</v>
      </c>
      <c r="N6" s="14" t="n">
        <f aca="false">C6*J6</f>
        <v>76.5</v>
      </c>
      <c r="O6" s="14" t="n">
        <f aca="false">C6*D6</f>
        <v>18</v>
      </c>
      <c r="P6" s="14" t="n">
        <f aca="false">J6/(1+Inputs!$B$14)^L6</f>
        <v>206.036741872322</v>
      </c>
      <c r="Q6" s="14" t="n">
        <f aca="false">SUMPRODUCT((Inputs!$H$23:$H$26&lt;=Inputs!F31)*Inputs!$E$23:$E$26/(1+Inputs!$B$14)^Inputs!$D$23:$D$26)</f>
        <v>126.725079654074</v>
      </c>
      <c r="R6" s="14" t="n">
        <f aca="false">C6*P6</f>
        <v>20.6036741872322</v>
      </c>
      <c r="S6" s="14" t="n">
        <f aca="false">C6*Q6</f>
        <v>12.6725079654074</v>
      </c>
    </row>
    <row r="7" customFormat="false" ht="30" hidden="false" customHeight="true" outlineLevel="0" collapsed="false">
      <c r="A7" s="41" t="str">
        <f aca="false">Inputs!A32</f>
        <v>S3 Partial: non-exclusive licence + team/IP transfer</v>
      </c>
      <c r="B7" s="32" t="str">
        <f aca="false">Inputs!B32</f>
        <v>S</v>
      </c>
      <c r="C7" s="29" t="n">
        <f aca="false">Inputs!C32</f>
        <v>0.15</v>
      </c>
      <c r="D7" s="14" t="n">
        <f aca="false">SUMIF(Inputs!$H$23:$H$26,"&lt;="&amp;Inputs!F32,Inputs!$E$23:$E$26)</f>
        <v>180</v>
      </c>
      <c r="E7" s="42" t="n">
        <f aca="false">SUMPRODUCT((Inputs!$H$23:$H$26&lt;=Inputs!F32)*Inputs!$E$23:$E$26/Inputs!$I$23:$I$26)</f>
        <v>0.03</v>
      </c>
      <c r="F7" s="42" t="n">
        <f aca="false">E7*(1-Inputs!E32)</f>
        <v>0.027</v>
      </c>
      <c r="G7" s="30" t="n">
        <f aca="false">Inputs!D32</f>
        <v>6000</v>
      </c>
      <c r="H7" s="14" t="n">
        <f aca="false">F7*G7</f>
        <v>162</v>
      </c>
      <c r="I7" s="14" t="n">
        <f aca="false">Inputs!H32*D7</f>
        <v>180</v>
      </c>
      <c r="J7" s="14" t="n">
        <f aca="false">IF(B7="S",MAX(H7,MIN(I7,G7)),D7*Inputs!I32)</f>
        <v>180</v>
      </c>
      <c r="K7" s="43" t="n">
        <f aca="false">IF(D7&gt;0,J7/D7,0)</f>
        <v>1</v>
      </c>
      <c r="L7" s="44" t="n">
        <f aca="false">Inputs!G32</f>
        <v>4</v>
      </c>
      <c r="M7" s="13" t="n">
        <f aca="false">IF(K7&gt;0,K7^(1/L7)-1,-1)</f>
        <v>0</v>
      </c>
      <c r="N7" s="14" t="n">
        <f aca="false">C7*J7</f>
        <v>27</v>
      </c>
      <c r="O7" s="14" t="n">
        <f aca="false">C7*D7</f>
        <v>27</v>
      </c>
      <c r="P7" s="14" t="n">
        <f aca="false">J7/(1+Inputs!$B$14)^L7</f>
        <v>63.0230033962396</v>
      </c>
      <c r="Q7" s="14" t="n">
        <f aca="false">SUMPRODUCT((Inputs!$H$23:$H$26&lt;=Inputs!F32)*Inputs!$E$23:$E$26/(1+Inputs!$B$14)^Inputs!$D$23:$D$26)</f>
        <v>126.725079654074</v>
      </c>
      <c r="R7" s="14" t="n">
        <f aca="false">C7*P7</f>
        <v>9.45345050943594</v>
      </c>
      <c r="S7" s="14" t="n">
        <f aca="false">C7*Q7</f>
        <v>19.0087619481111</v>
      </c>
    </row>
    <row r="8" customFormat="false" ht="30" hidden="false" customHeight="true" outlineLevel="0" collapsed="false">
      <c r="A8" s="41" t="str">
        <f aca="false">Inputs!A33</f>
        <v>S4 Stops after Gate 3 not met (T4 never released)</v>
      </c>
      <c r="B8" s="32" t="str">
        <f aca="false">Inputs!B33</f>
        <v>F</v>
      </c>
      <c r="C8" s="29" t="n">
        <f aca="false">Inputs!C33</f>
        <v>0.1</v>
      </c>
      <c r="D8" s="14" t="n">
        <f aca="false">SUMIF(Inputs!$H$23:$H$26,"&lt;="&amp;Inputs!F33,Inputs!$E$23:$E$26)</f>
        <v>135</v>
      </c>
      <c r="E8" s="42" t="n">
        <f aca="false">SUMPRODUCT((Inputs!$H$23:$H$26&lt;=Inputs!F33)*Inputs!$E$23:$E$26/Inputs!$I$23:$I$26)</f>
        <v>0.0225</v>
      </c>
      <c r="F8" s="42" t="n">
        <f aca="false">E8*(1-Inputs!E33)</f>
        <v>0.0225</v>
      </c>
      <c r="G8" s="30" t="n">
        <f aca="false">Inputs!D33</f>
        <v>0</v>
      </c>
      <c r="H8" s="14" t="n">
        <f aca="false">F8*G8</f>
        <v>0</v>
      </c>
      <c r="I8" s="14" t="n">
        <f aca="false">Inputs!H33*D8</f>
        <v>135</v>
      </c>
      <c r="J8" s="14" t="n">
        <f aca="false">IF(B8="S",MAX(H8,MIN(I8,G8)),D8*Inputs!I33)</f>
        <v>27</v>
      </c>
      <c r="K8" s="43" t="n">
        <f aca="false">IF(D8&gt;0,J8/D8,0)</f>
        <v>0.2</v>
      </c>
      <c r="L8" s="44" t="n">
        <f aca="false">Inputs!G33</f>
        <v>3</v>
      </c>
      <c r="M8" s="13" t="n">
        <f aca="false">IF(K8&gt;0,K8^(1/L8)-1,-1)</f>
        <v>-0.415196452357427</v>
      </c>
      <c r="N8" s="14" t="n">
        <f aca="false">C8*J8</f>
        <v>2.7</v>
      </c>
      <c r="O8" s="14" t="n">
        <f aca="false">C8*D8</f>
        <v>13.5</v>
      </c>
      <c r="P8" s="14" t="n">
        <f aca="false">J8/(1+Inputs!$B$14)^L8</f>
        <v>12.2894856622667</v>
      </c>
      <c r="Q8" s="14" t="n">
        <f aca="false">SUMPRODUCT((Inputs!$H$23:$H$26&lt;=Inputs!F33)*Inputs!$E$23:$E$26/(1+Inputs!$B$14)^Inputs!$D$23:$D$26)</f>
        <v>106.242603550296</v>
      </c>
      <c r="R8" s="14" t="n">
        <f aca="false">C8*P8</f>
        <v>1.22894856622667</v>
      </c>
      <c r="S8" s="14" t="n">
        <f aca="false">C8*Q8</f>
        <v>10.6242603550296</v>
      </c>
    </row>
    <row r="9" customFormat="false" ht="30" hidden="false" customHeight="true" outlineLevel="0" collapsed="false">
      <c r="A9" s="41" t="str">
        <f aca="false">Inputs!A34</f>
        <v>S5 Stops at Gate 2 (T3 never released)</v>
      </c>
      <c r="B9" s="32" t="str">
        <f aca="false">Inputs!B34</f>
        <v>F</v>
      </c>
      <c r="C9" s="29" t="n">
        <f aca="false">Inputs!C34</f>
        <v>0.25</v>
      </c>
      <c r="D9" s="14" t="n">
        <f aca="false">SUMIF(Inputs!$H$23:$H$26,"&lt;="&amp;Inputs!F34,Inputs!$E$23:$E$26)</f>
        <v>90</v>
      </c>
      <c r="E9" s="42" t="n">
        <f aca="false">SUMPRODUCT((Inputs!$H$23:$H$26&lt;=Inputs!F34)*Inputs!$E$23:$E$26/Inputs!$I$23:$I$26)</f>
        <v>0.015</v>
      </c>
      <c r="F9" s="42" t="n">
        <f aca="false">E9*(1-Inputs!E34)</f>
        <v>0.015</v>
      </c>
      <c r="G9" s="30" t="n">
        <f aca="false">Inputs!D34</f>
        <v>0</v>
      </c>
      <c r="H9" s="14" t="n">
        <f aca="false">F9*G9</f>
        <v>0</v>
      </c>
      <c r="I9" s="14" t="n">
        <f aca="false">Inputs!H34*D9</f>
        <v>90</v>
      </c>
      <c r="J9" s="14" t="n">
        <f aca="false">IF(B9="S",MAX(H9,MIN(I9,G9)),D9*Inputs!I34)</f>
        <v>22.5</v>
      </c>
      <c r="K9" s="43" t="n">
        <f aca="false">IF(D9&gt;0,J9/D9,0)</f>
        <v>0.25</v>
      </c>
      <c r="L9" s="44" t="n">
        <f aca="false">Inputs!G34</f>
        <v>2</v>
      </c>
      <c r="M9" s="13" t="n">
        <f aca="false">IF(K9&gt;0,K9^(1/L9)-1,-1)</f>
        <v>-0.5</v>
      </c>
      <c r="N9" s="14" t="n">
        <f aca="false">C9*J9</f>
        <v>5.625</v>
      </c>
      <c r="O9" s="14" t="n">
        <f aca="false">C9*D9</f>
        <v>22.5</v>
      </c>
      <c r="P9" s="14" t="n">
        <f aca="false">J9/(1+Inputs!$B$14)^L9</f>
        <v>13.3136094674556</v>
      </c>
      <c r="Q9" s="14" t="n">
        <f aca="false">SUMPRODUCT((Inputs!$H$23:$H$26&lt;=Inputs!F34)*Inputs!$E$23:$E$26/(1+Inputs!$B$14)^Inputs!$D$23:$D$26)</f>
        <v>79.6153846153846</v>
      </c>
      <c r="R9" s="14" t="n">
        <f aca="false">C9*P9</f>
        <v>3.32840236686391</v>
      </c>
      <c r="S9" s="14" t="n">
        <f aca="false">C9*Q9</f>
        <v>19.9038461538462</v>
      </c>
    </row>
    <row r="10" customFormat="false" ht="30" hidden="false" customHeight="true" outlineLevel="0" collapsed="false">
      <c r="A10" s="41" t="str">
        <f aca="false">Inputs!A35</f>
        <v>S6 Stops at Gate 1 (T2 never released)</v>
      </c>
      <c r="B10" s="32" t="str">
        <f aca="false">Inputs!B35</f>
        <v>F</v>
      </c>
      <c r="C10" s="29" t="n">
        <f aca="false">Inputs!C35</f>
        <v>0.35</v>
      </c>
      <c r="D10" s="14" t="n">
        <f aca="false">SUMIF(Inputs!$H$23:$H$26,"&lt;="&amp;Inputs!F35,Inputs!$E$23:$E$26)</f>
        <v>45</v>
      </c>
      <c r="E10" s="42" t="n">
        <f aca="false">SUMPRODUCT((Inputs!$H$23:$H$26&lt;=Inputs!F35)*Inputs!$E$23:$E$26/Inputs!$I$23:$I$26)</f>
        <v>0.0075</v>
      </c>
      <c r="F10" s="42" t="n">
        <f aca="false">E10*(1-Inputs!E35)</f>
        <v>0.0075</v>
      </c>
      <c r="G10" s="30" t="n">
        <f aca="false">Inputs!D35</f>
        <v>0</v>
      </c>
      <c r="H10" s="14" t="n">
        <f aca="false">F10*G10</f>
        <v>0</v>
      </c>
      <c r="I10" s="14" t="n">
        <f aca="false">Inputs!H35*D10</f>
        <v>45</v>
      </c>
      <c r="J10" s="14" t="n">
        <f aca="false">IF(B10="S",MAX(H10,MIN(I10,G10)),D10*Inputs!I35)</f>
        <v>13.5</v>
      </c>
      <c r="K10" s="43" t="n">
        <f aca="false">IF(D10&gt;0,J10/D10,0)</f>
        <v>0.3</v>
      </c>
      <c r="L10" s="44" t="n">
        <f aca="false">Inputs!G35</f>
        <v>1</v>
      </c>
      <c r="M10" s="13" t="n">
        <f aca="false">IF(K10&gt;0,K10^(1/L10)-1,-1)</f>
        <v>-0.7</v>
      </c>
      <c r="N10" s="14" t="n">
        <f aca="false">C10*J10</f>
        <v>4.725</v>
      </c>
      <c r="O10" s="14" t="n">
        <f aca="false">C10*D10</f>
        <v>15.75</v>
      </c>
      <c r="P10" s="14" t="n">
        <f aca="false">J10/(1+Inputs!$B$14)^L10</f>
        <v>10.3846153846154</v>
      </c>
      <c r="Q10" s="14" t="n">
        <f aca="false">SUMPRODUCT((Inputs!$H$23:$H$26&lt;=Inputs!F35)*Inputs!$E$23:$E$26/(1+Inputs!$B$14)^Inputs!$D$23:$D$26)</f>
        <v>45</v>
      </c>
      <c r="R10" s="14" t="n">
        <f aca="false">C10*P10</f>
        <v>3.63461538461538</v>
      </c>
      <c r="S10" s="14" t="n">
        <f aca="false">C10*Q10</f>
        <v>15.75</v>
      </c>
    </row>
    <row r="11" customFormat="false" ht="15" hidden="false" customHeight="false" outlineLevel="0" collapsed="false">
      <c r="A11" s="23" t="s">
        <v>258</v>
      </c>
      <c r="C11" s="24" t="n">
        <f aca="false">SUM(C5:C10)</f>
        <v>1</v>
      </c>
      <c r="N11" s="25" t="n">
        <f aca="false">SUM(N5:N10)</f>
        <v>211.05</v>
      </c>
      <c r="O11" s="25" t="n">
        <f aca="false">SUM(O5:O10)</f>
        <v>105.75</v>
      </c>
      <c r="R11" s="25" t="n">
        <f aca="false">SUM(R5:R10)</f>
        <v>57.8272429569929</v>
      </c>
      <c r="S11" s="25" t="n">
        <f aca="false">SUM(S5:S10)</f>
        <v>84.2956304050979</v>
      </c>
    </row>
    <row r="13" customFormat="false" ht="15" hidden="false" customHeight="false" outlineLevel="0" collapsed="false">
      <c r="A13" s="7" t="s">
        <v>259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15" hidden="false" customHeight="false" outlineLevel="0" collapsed="false">
      <c r="A14" s="9" t="s">
        <v>260</v>
      </c>
      <c r="D14" s="45" t="n">
        <f aca="false">MAX(K5:K10)</f>
        <v>10.5</v>
      </c>
    </row>
    <row r="15" customFormat="false" ht="15" hidden="false" customHeight="false" outlineLevel="0" collapsed="false">
      <c r="A15" s="9" t="s">
        <v>261</v>
      </c>
      <c r="D15" s="25" t="n">
        <f aca="false">N11</f>
        <v>211.05</v>
      </c>
    </row>
    <row r="16" customFormat="false" ht="15" hidden="false" customHeight="false" outlineLevel="0" collapsed="false">
      <c r="A16" s="9" t="s">
        <v>262</v>
      </c>
      <c r="D16" s="25" t="n">
        <f aca="false">O11</f>
        <v>105.75</v>
      </c>
    </row>
    <row r="17" customFormat="false" ht="15" hidden="false" customHeight="false" outlineLevel="0" collapsed="false">
      <c r="A17" s="9" t="s">
        <v>263</v>
      </c>
      <c r="D17" s="46" t="n">
        <f aca="false">IF(O11&gt;0,N11/O11,0)</f>
        <v>1.99574468085106</v>
      </c>
      <c r="F17" s="5" t="s">
        <v>264</v>
      </c>
    </row>
    <row r="18" customFormat="false" ht="15" hidden="false" customHeight="false" outlineLevel="0" collapsed="false">
      <c r="A18" s="9" t="s">
        <v>265</v>
      </c>
      <c r="D18" s="47" t="n">
        <f aca="false">IF(S11&gt;0,R11/S11,0)</f>
        <v>0.686005225645667</v>
      </c>
    </row>
    <row r="19" customFormat="false" ht="15" hidden="false" customHeight="false" outlineLevel="0" collapsed="false">
      <c r="A19" s="9" t="s">
        <v>266</v>
      </c>
      <c r="D19" s="24" t="n">
        <f aca="false">SUMPRODUCT(C5:C10*(K5:K10&gt;=1))</f>
        <v>0.3</v>
      </c>
    </row>
    <row r="20" customFormat="false" ht="15" hidden="false" customHeight="false" outlineLevel="0" collapsed="false">
      <c r="A20" s="9" t="s">
        <v>267</v>
      </c>
      <c r="D20" s="24" t="n">
        <f aca="false">SUMPRODUCT(C5:C10*(K5:K10&gt;=3))</f>
        <v>0.15</v>
      </c>
    </row>
    <row r="21" customFormat="false" ht="15" hidden="false" customHeight="false" outlineLevel="0" collapsed="false">
      <c r="A21" s="9" t="s">
        <v>268</v>
      </c>
      <c r="D21" s="24" t="n">
        <f aca="false">SUMPRODUCT(C5:C10*(K5:K10&gt;=10))</f>
        <v>0.05</v>
      </c>
    </row>
    <row r="22" customFormat="false" ht="15" hidden="false" customHeight="false" outlineLevel="0" collapsed="false">
      <c r="A22" s="9" t="s">
        <v>269</v>
      </c>
      <c r="D22" s="24" t="n">
        <f aca="false">SUMPRODUCT(C5:C10*(K5:K10&lt;1))</f>
        <v>0.7</v>
      </c>
    </row>
    <row r="23" customFormat="false" ht="15" hidden="false" customHeight="false" outlineLevel="0" collapsed="false">
      <c r="A23" s="9" t="s">
        <v>270</v>
      </c>
      <c r="D23" s="25" t="n">
        <f aca="false">D10*(1-Inputs!I35)</f>
        <v>31.5</v>
      </c>
    </row>
    <row r="25" customFormat="false" ht="15" hidden="false" customHeight="false" outlineLevel="0" collapsed="false">
      <c r="A25" s="7" t="s">
        <v>271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" hidden="false" customHeight="false" outlineLevel="0" collapsed="false">
      <c r="A26" s="6" t="s">
        <v>272</v>
      </c>
      <c r="B26" s="6"/>
      <c r="C26" s="6" t="s">
        <v>273</v>
      </c>
      <c r="D26" s="6" t="s">
        <v>274</v>
      </c>
      <c r="E26" s="6" t="s">
        <v>275</v>
      </c>
      <c r="F26" s="6" t="s">
        <v>276</v>
      </c>
    </row>
    <row r="27" customFormat="false" ht="15" hidden="false" customHeight="false" outlineLevel="0" collapsed="false">
      <c r="A27" s="5" t="s">
        <v>277</v>
      </c>
      <c r="C27" s="16" t="n">
        <v>0</v>
      </c>
      <c r="D27" s="16" t="n">
        <v>0.15</v>
      </c>
      <c r="E27" s="16" t="n">
        <v>0.3</v>
      </c>
      <c r="F27" s="16" t="n">
        <v>0.45</v>
      </c>
    </row>
    <row r="28" customFormat="false" ht="15" hidden="false" customHeight="false" outlineLevel="0" collapsed="false">
      <c r="A28" s="48" t="n">
        <v>1</v>
      </c>
      <c r="C28" s="12" t="n">
        <f aca="false">$A28*Inputs!$B$7/(1-C$27)</f>
        <v>6000</v>
      </c>
      <c r="D28" s="12" t="n">
        <f aca="false">$A28*Inputs!$B$7/(1-D$27)</f>
        <v>7058.82352941177</v>
      </c>
      <c r="E28" s="12" t="n">
        <f aca="false">$A28*Inputs!$B$7/(1-E$27)</f>
        <v>8571.42857142857</v>
      </c>
      <c r="F28" s="12" t="n">
        <f aca="false">$A28*Inputs!$B$7/(1-F$27)</f>
        <v>10909.0909090909</v>
      </c>
    </row>
    <row r="29" customFormat="false" ht="15" hidden="false" customHeight="false" outlineLevel="0" collapsed="false">
      <c r="A29" s="48" t="n">
        <v>3</v>
      </c>
      <c r="C29" s="12" t="n">
        <f aca="false">$A29*Inputs!$B$7/(1-C$27)</f>
        <v>18000</v>
      </c>
      <c r="D29" s="12" t="n">
        <f aca="false">$A29*Inputs!$B$7/(1-D$27)</f>
        <v>21176.4705882353</v>
      </c>
      <c r="E29" s="12" t="n">
        <f aca="false">$A29*Inputs!$B$7/(1-E$27)</f>
        <v>25714.2857142857</v>
      </c>
      <c r="F29" s="12" t="n">
        <f aca="false">$A29*Inputs!$B$7/(1-F$27)</f>
        <v>32727.2727272727</v>
      </c>
    </row>
    <row r="30" customFormat="false" ht="15" hidden="false" customHeight="false" outlineLevel="0" collapsed="false">
      <c r="A30" s="48" t="n">
        <v>5</v>
      </c>
      <c r="C30" s="12" t="n">
        <f aca="false">$A30*Inputs!$B$7/(1-C$27)</f>
        <v>30000</v>
      </c>
      <c r="D30" s="12" t="n">
        <f aca="false">$A30*Inputs!$B$7/(1-D$27)</f>
        <v>35294.1176470588</v>
      </c>
      <c r="E30" s="12" t="n">
        <f aca="false">$A30*Inputs!$B$7/(1-E$27)</f>
        <v>42857.1428571429</v>
      </c>
      <c r="F30" s="12" t="n">
        <f aca="false">$A30*Inputs!$B$7/(1-F$27)</f>
        <v>54545.4545454545</v>
      </c>
    </row>
    <row r="31" customFormat="false" ht="15" hidden="false" customHeight="false" outlineLevel="0" collapsed="false">
      <c r="A31" s="48" t="n">
        <v>10</v>
      </c>
      <c r="C31" s="12" t="n">
        <f aca="false">$A31*Inputs!$B$7/(1-C$27)</f>
        <v>60000</v>
      </c>
      <c r="D31" s="12" t="n">
        <f aca="false">$A31*Inputs!$B$7/(1-D$27)</f>
        <v>70588.2352941177</v>
      </c>
      <c r="E31" s="12" t="n">
        <f aca="false">$A31*Inputs!$B$7/(1-E$27)</f>
        <v>85714.2857142857</v>
      </c>
      <c r="F31" s="12" t="n">
        <f aca="false">$A31*Inputs!$B$7/(1-F$27)</f>
        <v>109090.909090909</v>
      </c>
    </row>
    <row r="32" customFormat="false" ht="15" hidden="false" customHeight="false" outlineLevel="0" collapsed="false">
      <c r="A32" s="48" t="n">
        <v>20</v>
      </c>
      <c r="C32" s="12" t="n">
        <f aca="false">$A32*Inputs!$B$7/(1-C$27)</f>
        <v>120000</v>
      </c>
      <c r="D32" s="12" t="n">
        <f aca="false">$A32*Inputs!$B$7/(1-D$27)</f>
        <v>141176.470588235</v>
      </c>
      <c r="E32" s="12" t="n">
        <f aca="false">$A32*Inputs!$B$7/(1-E$27)</f>
        <v>171428.571428571</v>
      </c>
      <c r="F32" s="12" t="n">
        <f aca="false">$A32*Inputs!$B$7/(1-F$27)</f>
        <v>218181.818181818</v>
      </c>
    </row>
    <row r="34" customFormat="false" ht="15" hidden="false" customHeight="false" outlineLevel="0" collapsed="false">
      <c r="A34" s="7" t="s">
        <v>278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customFormat="false" ht="15" hidden="false" customHeight="false" outlineLevel="0" collapsed="false">
      <c r="A35" s="49" t="n">
        <f aca="false">A28</f>
        <v>1</v>
      </c>
      <c r="C35" s="50" t="n">
        <f aca="false">C28/(Inputs!$B$6*100)</f>
        <v>0.666666666666667</v>
      </c>
      <c r="D35" s="50" t="n">
        <f aca="false">D28/(Inputs!$B$6*100)</f>
        <v>0.784313725490196</v>
      </c>
      <c r="E35" s="50" t="n">
        <f aca="false">E28/(Inputs!$B$6*100)</f>
        <v>0.952380952380953</v>
      </c>
      <c r="F35" s="50" t="n">
        <f aca="false">F28/(Inputs!$B$6*100)</f>
        <v>1.21212121212121</v>
      </c>
    </row>
    <row r="36" customFormat="false" ht="15" hidden="false" customHeight="false" outlineLevel="0" collapsed="false">
      <c r="A36" s="49" t="n">
        <f aca="false">A29</f>
        <v>3</v>
      </c>
      <c r="C36" s="50" t="n">
        <f aca="false">C29/(Inputs!$B$6*100)</f>
        <v>2</v>
      </c>
      <c r="D36" s="50" t="n">
        <f aca="false">D29/(Inputs!$B$6*100)</f>
        <v>2.35294117647059</v>
      </c>
      <c r="E36" s="50" t="n">
        <f aca="false">E29/(Inputs!$B$6*100)</f>
        <v>2.85714285714286</v>
      </c>
      <c r="F36" s="50" t="n">
        <f aca="false">F29/(Inputs!$B$6*100)</f>
        <v>3.63636363636364</v>
      </c>
    </row>
    <row r="37" customFormat="false" ht="15" hidden="false" customHeight="false" outlineLevel="0" collapsed="false">
      <c r="A37" s="49" t="n">
        <f aca="false">A30</f>
        <v>5</v>
      </c>
      <c r="C37" s="50" t="n">
        <f aca="false">C30/(Inputs!$B$6*100)</f>
        <v>3.33333333333333</v>
      </c>
      <c r="D37" s="50" t="n">
        <f aca="false">D30/(Inputs!$B$6*100)</f>
        <v>3.92156862745098</v>
      </c>
      <c r="E37" s="50" t="n">
        <f aca="false">E30/(Inputs!$B$6*100)</f>
        <v>4.76190476190476</v>
      </c>
      <c r="F37" s="50" t="n">
        <f aca="false">F30/(Inputs!$B$6*100)</f>
        <v>6.06060606060606</v>
      </c>
    </row>
    <row r="38" customFormat="false" ht="15" hidden="false" customHeight="false" outlineLevel="0" collapsed="false">
      <c r="A38" s="49" t="n">
        <f aca="false">A31</f>
        <v>10</v>
      </c>
      <c r="C38" s="50" t="n">
        <f aca="false">C31/(Inputs!$B$6*100)</f>
        <v>6.66666666666667</v>
      </c>
      <c r="D38" s="50" t="n">
        <f aca="false">D31/(Inputs!$B$6*100)</f>
        <v>7.84313725490196</v>
      </c>
      <c r="E38" s="50" t="n">
        <f aca="false">E31/(Inputs!$B$6*100)</f>
        <v>9.52380952380953</v>
      </c>
      <c r="F38" s="50" t="n">
        <f aca="false">F31/(Inputs!$B$6*100)</f>
        <v>12.1212121212121</v>
      </c>
    </row>
    <row r="39" customFormat="false" ht="15" hidden="false" customHeight="false" outlineLevel="0" collapsed="false">
      <c r="A39" s="49" t="n">
        <f aca="false">A32</f>
        <v>20</v>
      </c>
      <c r="C39" s="50" t="n">
        <f aca="false">C32/(Inputs!$B$6*100)</f>
        <v>13.3333333333333</v>
      </c>
      <c r="D39" s="50" t="n">
        <f aca="false">D32/(Inputs!$B$6*100)</f>
        <v>15.6862745098039</v>
      </c>
      <c r="E39" s="50" t="n">
        <f aca="false">E32/(Inputs!$B$6*100)</f>
        <v>19.0476190476191</v>
      </c>
      <c r="F39" s="50" t="n">
        <f aca="false">F32/(Inputs!$B$6*100)</f>
        <v>24.2424242424242</v>
      </c>
    </row>
    <row r="41" customFormat="false" ht="15" hidden="false" customHeight="false" outlineLevel="0" collapsed="false">
      <c r="A41" s="7" t="s">
        <v>279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customFormat="false" ht="15" hidden="false" customHeight="false" outlineLevel="0" collapsed="false">
      <c r="A42" s="6" t="s">
        <v>280</v>
      </c>
      <c r="B42" s="6"/>
      <c r="C42" s="51" t="n">
        <v>3000</v>
      </c>
      <c r="D42" s="51" t="n">
        <v>4500</v>
      </c>
      <c r="E42" s="51" t="n">
        <v>6000</v>
      </c>
      <c r="F42" s="51" t="n">
        <v>7500</v>
      </c>
      <c r="G42" s="51" t="n">
        <v>9000</v>
      </c>
      <c r="H42" s="51" t="n">
        <v>12000</v>
      </c>
    </row>
    <row r="43" customFormat="false" ht="27.75" hidden="false" customHeight="true" outlineLevel="0" collapsed="false">
      <c r="A43" s="41" t="str">
        <f aca="false">Inputs!A30</f>
        <v>S1 Co-creation: X becomes the continuity layer in the Co-Creator platform / JV</v>
      </c>
      <c r="C43" s="14" t="n">
        <f aca="false">IF($B5="S",MAX($D5/C$42*(1-Inputs!$E30)*$G5,MIN($I5,$G5)),$D5*Inputs!$I30)</f>
        <v>3780</v>
      </c>
      <c r="D43" s="14" t="n">
        <f aca="false">IF($B5="S",MAX($D5/D$42*(1-Inputs!$E30)*$G5,MIN($I5,$G5)),$D5*Inputs!$I30)</f>
        <v>2520</v>
      </c>
      <c r="E43" s="14" t="n">
        <f aca="false">IF($B5="S",MAX($D5/E$42*(1-Inputs!$E30)*$G5,MIN($I5,$G5)),$D5*Inputs!$I30)</f>
        <v>1890</v>
      </c>
      <c r="F43" s="14" t="n">
        <f aca="false">IF($B5="S",MAX($D5/F$42*(1-Inputs!$E30)*$G5,MIN($I5,$G5)),$D5*Inputs!$I30)</f>
        <v>1512</v>
      </c>
      <c r="G43" s="14" t="n">
        <f aca="false">IF($B5="S",MAX($D5/G$42*(1-Inputs!$E30)*$G5,MIN($I5,$G5)),$D5*Inputs!$I30)</f>
        <v>1260</v>
      </c>
      <c r="H43" s="14" t="n">
        <f aca="false">IF($B5="S",MAX($D5/H$42*(1-Inputs!$E30)*$G5,MIN($I5,$G5)),$D5*Inputs!$I30)</f>
        <v>945</v>
      </c>
    </row>
    <row r="44" customFormat="false" ht="27.75" hidden="false" customHeight="true" outlineLevel="0" collapsed="false">
      <c r="A44" s="41" t="str">
        <f aca="false">Inputs!A31</f>
        <v>S2 IP / platform sale or exclusive licence to Co-Creator</v>
      </c>
      <c r="C44" s="14" t="n">
        <f aca="false">IF($B6="S",MAX($D6/C$42*(1-Inputs!$E31)*$G6,MIN($I6,$G6)),$D6*Inputs!$I31)</f>
        <v>1530</v>
      </c>
      <c r="D44" s="14" t="n">
        <f aca="false">IF($B6="S",MAX($D6/D$42*(1-Inputs!$E31)*$G6,MIN($I6,$G6)),$D6*Inputs!$I31)</f>
        <v>1020</v>
      </c>
      <c r="E44" s="14" t="n">
        <f aca="false">IF($B6="S",MAX($D6/E$42*(1-Inputs!$E31)*$G6,MIN($I6,$G6)),$D6*Inputs!$I31)</f>
        <v>765</v>
      </c>
      <c r="F44" s="14" t="n">
        <f aca="false">IF($B6="S",MAX($D6/F$42*(1-Inputs!$E31)*$G6,MIN($I6,$G6)),$D6*Inputs!$I31)</f>
        <v>612</v>
      </c>
      <c r="G44" s="14" t="n">
        <f aca="false">IF($B6="S",MAX($D6/G$42*(1-Inputs!$E31)*$G6,MIN($I6,$G6)),$D6*Inputs!$I31)</f>
        <v>510</v>
      </c>
      <c r="H44" s="14" t="n">
        <f aca="false">IF($B6="S",MAX($D6/H$42*(1-Inputs!$E31)*$G6,MIN($I6,$G6)),$D6*Inputs!$I31)</f>
        <v>382.5</v>
      </c>
    </row>
    <row r="45" customFormat="false" ht="27.75" hidden="false" customHeight="true" outlineLevel="0" collapsed="false">
      <c r="A45" s="41" t="str">
        <f aca="false">Inputs!A32</f>
        <v>S3 Partial: non-exclusive licence + team/IP transfer</v>
      </c>
      <c r="C45" s="14" t="n">
        <f aca="false">IF($B7="S",MAX($D7/C$42*(1-Inputs!$E32)*$G7,MIN($I7,$G7)),$D7*Inputs!$I32)</f>
        <v>324</v>
      </c>
      <c r="D45" s="14" t="n">
        <f aca="false">IF($B7="S",MAX($D7/D$42*(1-Inputs!$E32)*$G7,MIN($I7,$G7)),$D7*Inputs!$I32)</f>
        <v>216</v>
      </c>
      <c r="E45" s="14" t="n">
        <f aca="false">IF($B7="S",MAX($D7/E$42*(1-Inputs!$E32)*$G7,MIN($I7,$G7)),$D7*Inputs!$I32)</f>
        <v>180</v>
      </c>
      <c r="F45" s="14" t="n">
        <f aca="false">IF($B7="S",MAX($D7/F$42*(1-Inputs!$E32)*$G7,MIN($I7,$G7)),$D7*Inputs!$I32)</f>
        <v>180</v>
      </c>
      <c r="G45" s="14" t="n">
        <f aca="false">IF($B7="S",MAX($D7/G$42*(1-Inputs!$E32)*$G7,MIN($I7,$G7)),$D7*Inputs!$I32)</f>
        <v>180</v>
      </c>
      <c r="H45" s="14" t="n">
        <f aca="false">IF($B7="S",MAX($D7/H$42*(1-Inputs!$E32)*$G7,MIN($I7,$G7)),$D7*Inputs!$I32)</f>
        <v>180</v>
      </c>
    </row>
    <row r="46" customFormat="false" ht="27.75" hidden="false" customHeight="true" outlineLevel="0" collapsed="false">
      <c r="A46" s="41" t="str">
        <f aca="false">Inputs!A33</f>
        <v>S4 Stops after Gate 3 not met (T4 never released)</v>
      </c>
      <c r="C46" s="14" t="n">
        <f aca="false">IF($B8="S",MAX($D8/C$42*(1-Inputs!$E33)*$G8,MIN($I8,$G8)),$D8*Inputs!$I33)</f>
        <v>27</v>
      </c>
      <c r="D46" s="14" t="n">
        <f aca="false">IF($B8="S",MAX($D8/D$42*(1-Inputs!$E33)*$G8,MIN($I8,$G8)),$D8*Inputs!$I33)</f>
        <v>27</v>
      </c>
      <c r="E46" s="14" t="n">
        <f aca="false">IF($B8="S",MAX($D8/E$42*(1-Inputs!$E33)*$G8,MIN($I8,$G8)),$D8*Inputs!$I33)</f>
        <v>27</v>
      </c>
      <c r="F46" s="14" t="n">
        <f aca="false">IF($B8="S",MAX($D8/F$42*(1-Inputs!$E33)*$G8,MIN($I8,$G8)),$D8*Inputs!$I33)</f>
        <v>27</v>
      </c>
      <c r="G46" s="14" t="n">
        <f aca="false">IF($B8="S",MAX($D8/G$42*(1-Inputs!$E33)*$G8,MIN($I8,$G8)),$D8*Inputs!$I33)</f>
        <v>27</v>
      </c>
      <c r="H46" s="14" t="n">
        <f aca="false">IF($B8="S",MAX($D8/H$42*(1-Inputs!$E33)*$G8,MIN($I8,$G8)),$D8*Inputs!$I33)</f>
        <v>27</v>
      </c>
    </row>
    <row r="47" customFormat="false" ht="27.75" hidden="false" customHeight="true" outlineLevel="0" collapsed="false">
      <c r="A47" s="41" t="str">
        <f aca="false">Inputs!A34</f>
        <v>S5 Stops at Gate 2 (T3 never released)</v>
      </c>
      <c r="C47" s="14" t="n">
        <f aca="false">IF($B9="S",MAX($D9/C$42*(1-Inputs!$E34)*$G9,MIN($I9,$G9)),$D9*Inputs!$I34)</f>
        <v>22.5</v>
      </c>
      <c r="D47" s="14" t="n">
        <f aca="false">IF($B9="S",MAX($D9/D$42*(1-Inputs!$E34)*$G9,MIN($I9,$G9)),$D9*Inputs!$I34)</f>
        <v>22.5</v>
      </c>
      <c r="E47" s="14" t="n">
        <f aca="false">IF($B9="S",MAX($D9/E$42*(1-Inputs!$E34)*$G9,MIN($I9,$G9)),$D9*Inputs!$I34)</f>
        <v>22.5</v>
      </c>
      <c r="F47" s="14" t="n">
        <f aca="false">IF($B9="S",MAX($D9/F$42*(1-Inputs!$E34)*$G9,MIN($I9,$G9)),$D9*Inputs!$I34)</f>
        <v>22.5</v>
      </c>
      <c r="G47" s="14" t="n">
        <f aca="false">IF($B9="S",MAX($D9/G$42*(1-Inputs!$E34)*$G9,MIN($I9,$G9)),$D9*Inputs!$I34)</f>
        <v>22.5</v>
      </c>
      <c r="H47" s="14" t="n">
        <f aca="false">IF($B9="S",MAX($D9/H$42*(1-Inputs!$E34)*$G9,MIN($I9,$G9)),$D9*Inputs!$I34)</f>
        <v>22.5</v>
      </c>
    </row>
    <row r="48" customFormat="false" ht="27.75" hidden="false" customHeight="true" outlineLevel="0" collapsed="false">
      <c r="A48" s="41" t="str">
        <f aca="false">Inputs!A35</f>
        <v>S6 Stops at Gate 1 (T2 never released)</v>
      </c>
      <c r="C48" s="14" t="n">
        <f aca="false">IF($B10="S",MAX($D10/C$42*(1-Inputs!$E35)*$G10,MIN($I10,$G10)),$D10*Inputs!$I35)</f>
        <v>13.5</v>
      </c>
      <c r="D48" s="14" t="n">
        <f aca="false">IF($B10="S",MAX($D10/D$42*(1-Inputs!$E35)*$G10,MIN($I10,$G10)),$D10*Inputs!$I35)</f>
        <v>13.5</v>
      </c>
      <c r="E48" s="14" t="n">
        <f aca="false">IF($B10="S",MAX($D10/E$42*(1-Inputs!$E35)*$G10,MIN($I10,$G10)),$D10*Inputs!$I35)</f>
        <v>13.5</v>
      </c>
      <c r="F48" s="14" t="n">
        <f aca="false">IF($B10="S",MAX($D10/F$42*(1-Inputs!$E35)*$G10,MIN($I10,$G10)),$D10*Inputs!$I35)</f>
        <v>13.5</v>
      </c>
      <c r="G48" s="14" t="n">
        <f aca="false">IF($B10="S",MAX($D10/G$42*(1-Inputs!$E35)*$G10,MIN($I10,$G10)),$D10*Inputs!$I35)</f>
        <v>13.5</v>
      </c>
      <c r="H48" s="14" t="n">
        <f aca="false">IF($B10="S",MAX($D10/H$42*(1-Inputs!$E35)*$G10,MIN($I10,$G10)),$D10*Inputs!$I35)</f>
        <v>13.5</v>
      </c>
    </row>
    <row r="49" customFormat="false" ht="15" hidden="false" customHeight="false" outlineLevel="0" collapsed="false">
      <c r="A49" s="23" t="s">
        <v>281</v>
      </c>
      <c r="C49" s="45" t="n">
        <f aca="false">SUMPRODUCT($C$5:$C$10,C43:C48)/$O$11</f>
        <v>3.81702127659574</v>
      </c>
      <c r="D49" s="45" t="n">
        <f aca="false">SUMPRODUCT($C$5:$C$10,D43:D48)/$O$11</f>
        <v>2.58581560283688</v>
      </c>
      <c r="E49" s="45" t="n">
        <f aca="false">SUMPRODUCT($C$5:$C$10,E43:E48)/$O$11</f>
        <v>1.99574468085106</v>
      </c>
      <c r="F49" s="45" t="n">
        <f aca="false">SUMPRODUCT($C$5:$C$10,F43:F48)/$O$11</f>
        <v>1.67234042553192</v>
      </c>
      <c r="G49" s="45" t="n">
        <f aca="false">SUMPRODUCT($C$5:$C$10,G43:G48)/$O$11</f>
        <v>1.45673758865248</v>
      </c>
      <c r="H49" s="45" t="n">
        <f aca="false">SUMPRODUCT($C$5:$C$10,H43:H48)/$O$11</f>
        <v>1.18723404255319</v>
      </c>
    </row>
    <row r="50" customFormat="false" ht="15" hidden="false" customHeight="false" outlineLevel="0" collapsed="false">
      <c r="A50" s="23" t="s">
        <v>282</v>
      </c>
      <c r="C50" s="52" t="n">
        <f aca="false">SUMPRODUCT($C$5:$C$10,C43:C48/(1+Inputs!$B$14)^$L$5:$L$10)/$S$11</f>
        <v>1.2523997861698</v>
      </c>
      <c r="D50" s="52" t="n">
        <f aca="false">SUMPRODUCT($C$5:$C$10,D43:D48/(1+Inputs!$B$14)^$L$5:$L$10)/$S$11</f>
        <v>0.867326986592442</v>
      </c>
      <c r="E50" s="52" t="n">
        <f aca="false">SUMPRODUCT($C$5:$C$10,E43:E48/(1+Inputs!$B$14)^$L$5:$L$10)/$S$11</f>
        <v>0.686005225645667</v>
      </c>
      <c r="F50" s="52" t="n">
        <f aca="false">SUMPRODUCT($C$5:$C$10,F43:F48/(1+Inputs!$B$14)^$L$5:$L$10)/$S$11</f>
        <v>0.590669735687884</v>
      </c>
      <c r="G50" s="52" t="n">
        <f aca="false">SUMPRODUCT($C$5:$C$10,G43:G48/(1+Inputs!$B$14)^$L$5:$L$10)/$S$11</f>
        <v>0.527112742382695</v>
      </c>
      <c r="H50" s="52" t="n">
        <f aca="false">SUMPRODUCT($C$5:$C$10,H43:H48/(1+Inputs!$B$14)^$L$5:$L$10)/$S$11</f>
        <v>0.447666500751209</v>
      </c>
    </row>
    <row r="51" customFormat="false" ht="15" hidden="false" customHeight="false" outlineLevel="0" collapsed="false">
      <c r="A51" s="5" t="s">
        <v>283</v>
      </c>
    </row>
    <row r="53" customFormat="false" ht="15" hidden="false" customHeight="false" outlineLevel="0" collapsed="false">
      <c r="A53" s="7" t="s">
        <v>284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customFormat="false" ht="15" hidden="false" customHeight="false" outlineLevel="0" collapsed="false">
      <c r="A54" s="23" t="s">
        <v>285</v>
      </c>
      <c r="C54" s="28" t="n">
        <v>0.5</v>
      </c>
      <c r="D54" s="28" t="n">
        <v>1</v>
      </c>
      <c r="E54" s="28" t="n">
        <v>1.5</v>
      </c>
      <c r="F54" s="28" t="n">
        <v>2</v>
      </c>
      <c r="G54" s="28" t="n">
        <v>2.5</v>
      </c>
      <c r="H54" s="28" t="n">
        <v>3</v>
      </c>
    </row>
    <row r="55" customFormat="false" ht="15" hidden="false" customHeight="false" outlineLevel="0" collapsed="false">
      <c r="A55" s="9" t="s">
        <v>286</v>
      </c>
      <c r="C55" s="13" t="n">
        <f aca="false">MIN(1,C54*SUMPRODUCT(($B$5:$B$10="S")*$C$5:$C$10))</f>
        <v>0.15</v>
      </c>
      <c r="D55" s="13" t="n">
        <f aca="false">MIN(1,D54*SUMPRODUCT(($B$5:$B$10="S")*$C$5:$C$10))</f>
        <v>0.3</v>
      </c>
      <c r="E55" s="13" t="n">
        <f aca="false">MIN(1,E54*SUMPRODUCT(($B$5:$B$10="S")*$C$5:$C$10))</f>
        <v>0.45</v>
      </c>
      <c r="F55" s="13" t="n">
        <f aca="false">MIN(1,F54*SUMPRODUCT(($B$5:$B$10="S")*$C$5:$C$10))</f>
        <v>0.6</v>
      </c>
      <c r="G55" s="13" t="n">
        <f aca="false">MIN(1,G54*SUMPRODUCT(($B$5:$B$10="S")*$C$5:$C$10))</f>
        <v>0.75</v>
      </c>
      <c r="H55" s="13" t="n">
        <f aca="false">MIN(1,H54*SUMPRODUCT(($B$5:$B$10="S")*$C$5:$C$10))</f>
        <v>0.9</v>
      </c>
    </row>
    <row r="56" customFormat="false" ht="15" hidden="false" customHeight="false" outlineLevel="0" collapsed="false">
      <c r="A56" s="9" t="s">
        <v>287</v>
      </c>
      <c r="C56" s="20" t="n">
        <f aca="false">(1-C55)/(1-SUMPRODUCT(($B$5:$B$10="S")*$C$5:$C$10))</f>
        <v>1.21428571428571</v>
      </c>
      <c r="D56" s="20" t="n">
        <f aca="false">(1-D55)/(1-SUMPRODUCT(($B$5:$B$10="S")*$C$5:$C$10))</f>
        <v>1</v>
      </c>
      <c r="E56" s="20" t="n">
        <f aca="false">(1-E55)/(1-SUMPRODUCT(($B$5:$B$10="S")*$C$5:$C$10))</f>
        <v>0.785714285714286</v>
      </c>
      <c r="F56" s="20" t="n">
        <f aca="false">(1-F55)/(1-SUMPRODUCT(($B$5:$B$10="S")*$C$5:$C$10))</f>
        <v>0.571428571428572</v>
      </c>
      <c r="G56" s="20" t="n">
        <f aca="false">(1-G55)/(1-SUMPRODUCT(($B$5:$B$10="S")*$C$5:$C$10))</f>
        <v>0.357142857142857</v>
      </c>
      <c r="H56" s="20" t="n">
        <f aca="false">(1-H55)/(1-SUMPRODUCT(($B$5:$B$10="S")*$C$5:$C$10))</f>
        <v>0.142857142857143</v>
      </c>
    </row>
    <row r="57" customFormat="false" ht="15" hidden="false" customHeight="false" outlineLevel="0" collapsed="false">
      <c r="A57" s="23" t="s">
        <v>281</v>
      </c>
      <c r="C57" s="45" t="n">
        <f aca="false">(C54*SUMPRODUCT(($B$5:$B$10="S")*$C$5:$C$10*$J$5:$J$10)+C56*SUMPRODUCT(($B$5:$B$10="F")*$C$5:$C$10*$J$5:$J$10))/(C54*SUMPRODUCT(($B$5:$B$10="S")*$C$5:$C$10*$D$5:$D$10)+C56*SUMPRODUCT(($B$5:$B$10="F")*$C$5:$C$10*$D$5:$D$10))</f>
        <v>1.2783542039356</v>
      </c>
      <c r="D57" s="45" t="n">
        <f aca="false">(D54*SUMPRODUCT(($B$5:$B$10="S")*$C$5:$C$10*$J$5:$J$10)+D56*SUMPRODUCT(($B$5:$B$10="F")*$C$5:$C$10*$J$5:$J$10))/(D54*SUMPRODUCT(($B$5:$B$10="S")*$C$5:$C$10*$D$5:$D$10)+D56*SUMPRODUCT(($B$5:$B$10="F")*$C$5:$C$10*$D$5:$D$10))</f>
        <v>1.99574468085106</v>
      </c>
      <c r="E57" s="45" t="n">
        <f aca="false">(E54*SUMPRODUCT(($B$5:$B$10="S")*$C$5:$C$10*$J$5:$J$10)+E56*SUMPRODUCT(($B$5:$B$10="F")*$C$5:$C$10*$J$5:$J$10))/(E54*SUMPRODUCT(($B$5:$B$10="S")*$C$5:$C$10*$D$5:$D$10)+E56*SUMPRODUCT(($B$5:$B$10="F")*$C$5:$C$10*$D$5:$D$10))</f>
        <v>2.52549537648613</v>
      </c>
      <c r="F57" s="45" t="n">
        <f aca="false">(F54*SUMPRODUCT(($B$5:$B$10="S")*$C$5:$C$10*$J$5:$J$10)+F56*SUMPRODUCT(($B$5:$B$10="F")*$C$5:$C$10*$J$5:$J$10))/(F54*SUMPRODUCT(($B$5:$B$10="S")*$C$5:$C$10*$D$5:$D$10)+F56*SUMPRODUCT(($B$5:$B$10="F")*$C$5:$C$10*$D$5:$D$10))</f>
        <v>2.93271028037383</v>
      </c>
      <c r="G57" s="45" t="n">
        <f aca="false">(G54*SUMPRODUCT(($B$5:$B$10="S")*$C$5:$C$10*$J$5:$J$10)+G56*SUMPRODUCT(($B$5:$B$10="F")*$C$5:$C$10*$J$5:$J$10))/(G54*SUMPRODUCT(($B$5:$B$10="S")*$C$5:$C$10*$D$5:$D$10)+G56*SUMPRODUCT(($B$5:$B$10="F")*$C$5:$C$10*$D$5:$D$10))</f>
        <v>3.25549738219895</v>
      </c>
      <c r="H57" s="45" t="n">
        <f aca="false">(H54*SUMPRODUCT(($B$5:$B$10="S")*$C$5:$C$10*$J$5:$J$10)+H56*SUMPRODUCT(($B$5:$B$10="F")*$C$5:$C$10*$J$5:$J$10))/(H54*SUMPRODUCT(($B$5:$B$10="S")*$C$5:$C$10*$D$5:$D$10)+H56*SUMPRODUCT(($B$5:$B$10="F")*$C$5:$C$10*$D$5:$D$10))</f>
        <v>3.51764705882353</v>
      </c>
    </row>
    <row r="58" customFormat="false" ht="15" hidden="false" customHeight="false" outlineLevel="0" collapsed="false">
      <c r="A58" s="23" t="s">
        <v>282</v>
      </c>
      <c r="C58" s="52" t="n">
        <f aca="false">(C54*SUMPRODUCT(($B$5:$B$10="S")*$C$5:$C$10*$P$5:$P$10)+C56*SUMPRODUCT(($B$5:$B$10="F")*$C$5:$C$10*$P$5:$P$10))/(C54*SUMPRODUCT(($B$5:$B$10="S")*$C$5:$C$10*$Q$5:$Q$10)+C56*SUMPRODUCT(($B$5:$B$10="F")*$C$5:$C$10*$Q$5:$Q$10))</f>
        <v>0.462278712961689</v>
      </c>
      <c r="D58" s="52" t="n">
        <f aca="false">(D54*SUMPRODUCT(($B$5:$B$10="S")*$C$5:$C$10*$P$5:$P$10)+D56*SUMPRODUCT(($B$5:$B$10="F")*$C$5:$C$10*$P$5:$P$10))/(D54*SUMPRODUCT(($B$5:$B$10="S")*$C$5:$C$10*$Q$5:$Q$10)+D56*SUMPRODUCT(($B$5:$B$10="F")*$C$5:$C$10*$Q$5:$Q$10))</f>
        <v>0.686005225645667</v>
      </c>
      <c r="E58" s="52" t="n">
        <f aca="false">(E54*SUMPRODUCT(($B$5:$B$10="S")*$C$5:$C$10*$P$5:$P$10)+E56*SUMPRODUCT(($B$5:$B$10="F")*$C$5:$C$10*$P$5:$P$10))/(E54*SUMPRODUCT(($B$5:$B$10="S")*$C$5:$C$10*$Q$5:$Q$10)+E56*SUMPRODUCT(($B$5:$B$10="F")*$C$5:$C$10*$Q$5:$Q$10))</f>
        <v>0.866168656995991</v>
      </c>
      <c r="F58" s="52" t="n">
        <f aca="false">(F54*SUMPRODUCT(($B$5:$B$10="S")*$C$5:$C$10*$P$5:$P$10)+F56*SUMPRODUCT(($B$5:$B$10="F")*$C$5:$C$10*$P$5:$P$10))/(F54*SUMPRODUCT(($B$5:$B$10="S")*$C$5:$C$10*$Q$5:$Q$10)+F56*SUMPRODUCT(($B$5:$B$10="F")*$C$5:$C$10*$Q$5:$Q$10))</f>
        <v>1.01436379196603</v>
      </c>
      <c r="G58" s="52" t="n">
        <f aca="false">(G54*SUMPRODUCT(($B$5:$B$10="S")*$C$5:$C$10*$P$5:$P$10)+G56*SUMPRODUCT(($B$5:$B$10="F")*$C$5:$C$10*$P$5:$P$10))/(G54*SUMPRODUCT(($B$5:$B$10="S")*$C$5:$C$10*$Q$5:$Q$10)+G56*SUMPRODUCT(($B$5:$B$10="F")*$C$5:$C$10*$Q$5:$Q$10))</f>
        <v>1.1384059600326</v>
      </c>
      <c r="H58" s="52" t="n">
        <f aca="false">(H54*SUMPRODUCT(($B$5:$B$10="S")*$C$5:$C$10*$P$5:$P$10)+H56*SUMPRODUCT(($B$5:$B$10="F")*$C$5:$C$10*$P$5:$P$10))/(H54*SUMPRODUCT(($B$5:$B$10="S")*$C$5:$C$10*$Q$5:$Q$10)+H56*SUMPRODUCT(($B$5:$B$10="F")*$C$5:$C$10*$Q$5:$Q$10))</f>
        <v>1.24375494705158</v>
      </c>
    </row>
    <row r="59" customFormat="false" ht="15" hidden="false" customHeight="false" outlineLevel="0" collapsed="false">
      <c r="A59" s="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7" min="5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289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290</v>
      </c>
    </row>
    <row r="4" customFormat="false" ht="15" hidden="false" customHeight="false" outlineLevel="0" collapsed="false">
      <c r="A4" s="7" t="s">
        <v>291</v>
      </c>
      <c r="B4" s="8"/>
      <c r="C4" s="8"/>
      <c r="D4" s="8"/>
      <c r="E4" s="8"/>
      <c r="F4" s="8"/>
      <c r="G4" s="8"/>
      <c r="H4" s="8"/>
    </row>
    <row r="5" customFormat="false" ht="23.85" hidden="false" customHeight="false" outlineLevel="0" collapsed="false">
      <c r="A5" s="6" t="s">
        <v>292</v>
      </c>
      <c r="B5" s="6" t="s">
        <v>240</v>
      </c>
      <c r="C5" s="6" t="s">
        <v>293</v>
      </c>
      <c r="D5" s="6" t="s">
        <v>294</v>
      </c>
      <c r="E5" s="6" t="s">
        <v>29</v>
      </c>
      <c r="F5" s="6" t="s">
        <v>295</v>
      </c>
      <c r="G5" s="6" t="s">
        <v>296</v>
      </c>
      <c r="H5" s="6" t="s">
        <v>297</v>
      </c>
    </row>
    <row r="6" customFormat="false" ht="15" hidden="false" customHeight="false" outlineLevel="0" collapsed="false">
      <c r="A6" s="9" t="s">
        <v>298</v>
      </c>
      <c r="B6" s="9" t="s">
        <v>299</v>
      </c>
      <c r="C6" s="53" t="n">
        <v>32</v>
      </c>
      <c r="D6" s="9" t="s">
        <v>300</v>
      </c>
      <c r="E6" s="12" t="n">
        <f aca="false">C6*Inputs!$B$6*100</f>
        <v>288000</v>
      </c>
      <c r="F6" s="43" t="n">
        <f aca="false">Inputs!$B$7/E6</f>
        <v>0.0208333333333333</v>
      </c>
      <c r="G6" s="9" t="s">
        <v>301</v>
      </c>
      <c r="H6" s="5" t="s">
        <v>302</v>
      </c>
    </row>
    <row r="7" customFormat="false" ht="15" hidden="false" customHeight="false" outlineLevel="0" collapsed="false">
      <c r="A7" s="9" t="s">
        <v>303</v>
      </c>
      <c r="B7" s="9" t="s">
        <v>304</v>
      </c>
      <c r="C7" s="53" t="n">
        <v>1.5</v>
      </c>
      <c r="D7" s="9" t="s">
        <v>305</v>
      </c>
      <c r="E7" s="12" t="n">
        <f aca="false">C7*Inputs!$B$6*100</f>
        <v>13500</v>
      </c>
      <c r="F7" s="43" t="n">
        <f aca="false">Inputs!$B$7/E7</f>
        <v>0.444444444444444</v>
      </c>
      <c r="G7" s="9" t="s">
        <v>306</v>
      </c>
      <c r="H7" s="5" t="s">
        <v>307</v>
      </c>
    </row>
    <row r="8" customFormat="false" ht="15" hidden="false" customHeight="false" outlineLevel="0" collapsed="false">
      <c r="A8" s="9" t="s">
        <v>308</v>
      </c>
      <c r="B8" s="9" t="s">
        <v>309</v>
      </c>
      <c r="C8" s="53" t="n">
        <v>0.65</v>
      </c>
      <c r="D8" s="9" t="s">
        <v>310</v>
      </c>
      <c r="E8" s="12" t="n">
        <f aca="false">C8*Inputs!$B$6*100</f>
        <v>5850</v>
      </c>
      <c r="F8" s="43" t="n">
        <f aca="false">Inputs!$B$7/E8</f>
        <v>1.02564102564103</v>
      </c>
      <c r="G8" s="9" t="s">
        <v>306</v>
      </c>
      <c r="H8" s="5" t="s">
        <v>311</v>
      </c>
    </row>
    <row r="9" customFormat="false" ht="15" hidden="false" customHeight="false" outlineLevel="0" collapsed="false">
      <c r="A9" s="9" t="s">
        <v>312</v>
      </c>
      <c r="B9" s="9" t="s">
        <v>309</v>
      </c>
      <c r="C9" s="53" t="n">
        <v>2.7</v>
      </c>
      <c r="D9" s="9" t="s">
        <v>313</v>
      </c>
      <c r="E9" s="12" t="n">
        <f aca="false">C9*Inputs!$B$6*100</f>
        <v>24300</v>
      </c>
      <c r="F9" s="43" t="n">
        <f aca="false">Inputs!$B$7/E9</f>
        <v>0.246913580246914</v>
      </c>
      <c r="G9" s="9" t="s">
        <v>306</v>
      </c>
      <c r="H9" s="5" t="s">
        <v>311</v>
      </c>
    </row>
    <row r="10" customFormat="false" ht="15" hidden="false" customHeight="false" outlineLevel="0" collapsed="false">
      <c r="A10" s="9" t="s">
        <v>314</v>
      </c>
      <c r="B10" s="9" t="s">
        <v>309</v>
      </c>
      <c r="C10" s="53" t="n">
        <v>20</v>
      </c>
      <c r="D10" s="9" t="s">
        <v>315</v>
      </c>
      <c r="E10" s="12" t="n">
        <f aca="false">C10*Inputs!$B$6*100</f>
        <v>180000</v>
      </c>
      <c r="F10" s="43" t="n">
        <f aca="false">Inputs!$B$7/E10</f>
        <v>0.0333333333333333</v>
      </c>
      <c r="G10" s="9" t="s">
        <v>306</v>
      </c>
      <c r="H10" s="5" t="s">
        <v>311</v>
      </c>
    </row>
    <row r="11" customFormat="false" ht="15" hidden="false" customHeight="false" outlineLevel="0" collapsed="false">
      <c r="A11" s="9" t="s">
        <v>316</v>
      </c>
      <c r="B11" s="9" t="s">
        <v>317</v>
      </c>
      <c r="C11" s="53" t="n">
        <v>14.3</v>
      </c>
      <c r="D11" s="9" t="s">
        <v>318</v>
      </c>
      <c r="E11" s="12" t="n">
        <f aca="false">C11*Inputs!$B$6*100</f>
        <v>128700</v>
      </c>
      <c r="F11" s="43" t="n">
        <f aca="false">Inputs!$B$7/E11</f>
        <v>0.0466200466200466</v>
      </c>
      <c r="G11" s="9" t="s">
        <v>306</v>
      </c>
      <c r="H11" s="5" t="s">
        <v>311</v>
      </c>
    </row>
    <row r="12" customFormat="false" ht="15" hidden="false" customHeight="false" outlineLevel="0" collapsed="false">
      <c r="A12" s="5" t="s">
        <v>319</v>
      </c>
    </row>
    <row r="14" customFormat="false" ht="15" hidden="false" customHeight="false" outlineLevel="0" collapsed="false">
      <c r="A14" s="7" t="s">
        <v>320</v>
      </c>
      <c r="B14" s="8"/>
      <c r="C14" s="8"/>
      <c r="D14" s="8"/>
      <c r="E14" s="8"/>
      <c r="F14" s="8"/>
      <c r="G14" s="8"/>
      <c r="H14" s="8"/>
    </row>
    <row r="15" customFormat="false" ht="23.85" hidden="false" customHeight="false" outlineLevel="0" collapsed="false">
      <c r="A15" s="6" t="s">
        <v>82</v>
      </c>
      <c r="B15" s="6" t="s">
        <v>245</v>
      </c>
      <c r="C15" s="6" t="s">
        <v>293</v>
      </c>
      <c r="D15" s="6"/>
      <c r="E15" s="6" t="s">
        <v>321</v>
      </c>
      <c r="F15" s="6" t="s">
        <v>322</v>
      </c>
      <c r="G15" s="6"/>
      <c r="H15" s="6"/>
    </row>
    <row r="16" customFormat="false" ht="27.75" hidden="false" customHeight="true" outlineLevel="0" collapsed="false">
      <c r="A16" s="41" t="str">
        <f aca="false">Returns!A5</f>
        <v>S1 Co-creation: X becomes the continuity layer in the Co-Creator platform / JV</v>
      </c>
      <c r="B16" s="30" t="n">
        <f aca="false">Returns!G5</f>
        <v>90000</v>
      </c>
      <c r="C16" s="20" t="n">
        <f aca="false">B16/(Inputs!$B$6*100)</f>
        <v>10</v>
      </c>
      <c r="E16" s="9" t="str">
        <f aca="false">A6</f>
        <v>Safe Superintelligence (SSI)</v>
      </c>
      <c r="F16" s="43" t="n">
        <f aca="false">B16/E6</f>
        <v>0.3125</v>
      </c>
    </row>
    <row r="17" customFormat="false" ht="27.75" hidden="false" customHeight="true" outlineLevel="0" collapsed="false">
      <c r="A17" s="41" t="str">
        <f aca="false">Returns!A6</f>
        <v>S2 IP / platform sale or exclusive licence to Co-Creator</v>
      </c>
      <c r="B17" s="30" t="n">
        <f aca="false">Returns!G6</f>
        <v>30000</v>
      </c>
      <c r="C17" s="20" t="n">
        <f aca="false">B17/(Inputs!$B$6*100)</f>
        <v>3.33333333333333</v>
      </c>
      <c r="E17" s="9" t="str">
        <f aca="false">A9</f>
        <v>Google–Character.AI</v>
      </c>
      <c r="F17" s="43" t="n">
        <f aca="false">B17/E9</f>
        <v>1.23456790123457</v>
      </c>
    </row>
    <row r="18" customFormat="false" ht="27.75" hidden="false" customHeight="true" outlineLevel="0" collapsed="false">
      <c r="A18" s="41" t="str">
        <f aca="false">Returns!A7</f>
        <v>S3 Partial: non-exclusive licence + team/IP transfer</v>
      </c>
      <c r="B18" s="30" t="n">
        <f aca="false">Returns!G7</f>
        <v>6000</v>
      </c>
      <c r="C18" s="20" t="n">
        <f aca="false">B18/(Inputs!$B$6*100)</f>
        <v>0.666666666666667</v>
      </c>
      <c r="E18" s="9" t="str">
        <f aca="false">A8</f>
        <v>Microsoft–Inflection</v>
      </c>
      <c r="F18" s="43" t="n">
        <f aca="false">B18/E8</f>
        <v>1.02564102564103</v>
      </c>
    </row>
    <row r="20" customFormat="false" ht="15" hidden="false" customHeight="false" outlineLevel="0" collapsed="false">
      <c r="A20" s="7" t="s">
        <v>323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9" t="s">
        <v>281</v>
      </c>
      <c r="B21" s="54" t="n">
        <f aca="false">Returns!D17</f>
        <v>1.99574468085106</v>
      </c>
    </row>
    <row r="22" customFormat="false" ht="15" hidden="false" customHeight="false" outlineLevel="0" collapsed="false">
      <c r="A22" s="9" t="s">
        <v>324</v>
      </c>
      <c r="B22" s="55" t="n">
        <f aca="false">Returns!D18</f>
        <v>0.686005225645667</v>
      </c>
    </row>
    <row r="23" customFormat="false" ht="15" hidden="false" customHeight="false" outlineLevel="0" collapsed="false">
      <c r="A23" s="9" t="s">
        <v>325</v>
      </c>
      <c r="B23" s="29" t="n">
        <f aca="false">Returns!D19</f>
        <v>0.3</v>
      </c>
    </row>
    <row r="24" customFormat="false" ht="15" hidden="false" customHeight="false" outlineLevel="0" collapsed="false">
      <c r="A24" s="9" t="s">
        <v>326</v>
      </c>
      <c r="B24" s="54" t="n">
        <f aca="false">Returns!D14</f>
        <v>10.5</v>
      </c>
    </row>
    <row r="26" customFormat="false" ht="15" hidden="false" customHeight="false" outlineLevel="0" collapsed="false">
      <c r="A26" s="7" t="s">
        <v>327</v>
      </c>
      <c r="B26" s="8"/>
      <c r="C26" s="8"/>
      <c r="D26" s="8"/>
      <c r="E26" s="8"/>
      <c r="F26" s="8"/>
      <c r="G26" s="8"/>
      <c r="H26" s="8"/>
    </row>
    <row r="27" customFormat="false" ht="23.85" hidden="false" customHeight="false" outlineLevel="0" collapsed="false">
      <c r="A27" s="6" t="s">
        <v>328</v>
      </c>
      <c r="B27" s="6" t="s">
        <v>329</v>
      </c>
      <c r="C27" s="6" t="s">
        <v>48</v>
      </c>
      <c r="D27" s="6" t="s">
        <v>330</v>
      </c>
      <c r="E27" s="6" t="s">
        <v>331</v>
      </c>
      <c r="F27" s="6" t="s">
        <v>332</v>
      </c>
      <c r="G27" s="6" t="s">
        <v>333</v>
      </c>
      <c r="H27" s="6"/>
    </row>
    <row r="28" customFormat="false" ht="15" hidden="false" customHeight="false" outlineLevel="0" collapsed="false">
      <c r="A28" s="9" t="s">
        <v>334</v>
      </c>
      <c r="B28" s="31" t="n">
        <f aca="false">Returns!D10</f>
        <v>45</v>
      </c>
      <c r="C28" s="13" t="n">
        <f aca="false">B28/Inputs!$B$8</f>
        <v>0.25</v>
      </c>
      <c r="D28" s="29" t="n">
        <f aca="false">Inputs!I35</f>
        <v>0.3</v>
      </c>
      <c r="E28" s="14" t="n">
        <f aca="false">B28*D28</f>
        <v>13.5</v>
      </c>
      <c r="F28" s="14" t="n">
        <f aca="false">B28-E28</f>
        <v>31.5</v>
      </c>
      <c r="G28" s="13" t="n">
        <f aca="false">F28/Inputs!$B$8</f>
        <v>0.175</v>
      </c>
    </row>
    <row r="29" customFormat="false" ht="15" hidden="false" customHeight="false" outlineLevel="0" collapsed="false">
      <c r="A29" s="9" t="s">
        <v>335</v>
      </c>
      <c r="B29" s="31" t="n">
        <f aca="false">Returns!D9</f>
        <v>90</v>
      </c>
      <c r="C29" s="13" t="n">
        <f aca="false">B29/Inputs!$B$8</f>
        <v>0.5</v>
      </c>
      <c r="D29" s="29" t="n">
        <f aca="false">Inputs!I34</f>
        <v>0.25</v>
      </c>
      <c r="E29" s="14" t="n">
        <f aca="false">B29*D29</f>
        <v>22.5</v>
      </c>
      <c r="F29" s="14" t="n">
        <f aca="false">B29-E29</f>
        <v>67.5</v>
      </c>
      <c r="G29" s="13" t="n">
        <f aca="false">F29/Inputs!$B$8</f>
        <v>0.375</v>
      </c>
    </row>
    <row r="30" customFormat="false" ht="15" hidden="false" customHeight="false" outlineLevel="0" collapsed="false">
      <c r="A30" s="9" t="s">
        <v>336</v>
      </c>
      <c r="B30" s="31" t="n">
        <f aca="false">Returns!D8</f>
        <v>135</v>
      </c>
      <c r="C30" s="13" t="n">
        <f aca="false">B30/Inputs!$B$8</f>
        <v>0.75</v>
      </c>
      <c r="D30" s="29" t="n">
        <f aca="false">Inputs!I33</f>
        <v>0.2</v>
      </c>
      <c r="E30" s="14" t="n">
        <f aca="false">B30*D30</f>
        <v>27</v>
      </c>
      <c r="F30" s="14" t="n">
        <f aca="false">B30-E30</f>
        <v>108</v>
      </c>
      <c r="G30" s="13" t="n">
        <f aca="false">F30/Inputs!$B$8</f>
        <v>0.6</v>
      </c>
    </row>
    <row r="32" customFormat="false" ht="15" hidden="false" customHeight="false" outlineLevel="0" collapsed="false">
      <c r="A32" s="5" t="s">
        <v>337</v>
      </c>
    </row>
    <row r="34" customFormat="false" ht="15" hidden="false" customHeight="false" outlineLevel="0" collapsed="false">
      <c r="A34" s="7" t="s">
        <v>338</v>
      </c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9" t="s">
        <v>339</v>
      </c>
      <c r="B35" s="31" t="n">
        <f aca="false">Inputs!B11</f>
        <v>60</v>
      </c>
    </row>
    <row r="36" customFormat="false" ht="15" hidden="false" customHeight="false" outlineLevel="0" collapsed="false">
      <c r="A36" s="9" t="s">
        <v>340</v>
      </c>
      <c r="B36" s="31" t="n">
        <f aca="false">Inputs!B12</f>
        <v>666.666666666667</v>
      </c>
    </row>
    <row r="37" customFormat="false" ht="15" hidden="false" customHeight="false" outlineLevel="0" collapsed="false">
      <c r="A37" s="9" t="s">
        <v>341</v>
      </c>
      <c r="B37" s="31" t="n">
        <f aca="false">Inputs!B13</f>
        <v>20</v>
      </c>
    </row>
    <row r="38" customFormat="false" ht="15" hidden="false" customHeight="false" outlineLevel="0" collapsed="false">
      <c r="A38" s="9" t="s">
        <v>342</v>
      </c>
      <c r="B38" s="29" t="n">
        <f aca="false">Inputs!B8/E7</f>
        <v>0.0133333333333333</v>
      </c>
    </row>
    <row r="39" customFormat="false" ht="15" hidden="false" customHeight="false" outlineLevel="0" collapsed="false">
      <c r="A39" s="9" t="s">
        <v>343</v>
      </c>
      <c r="B39" s="29" t="n">
        <f aca="false">Inputs!B7/E7</f>
        <v>0.444444444444444</v>
      </c>
    </row>
    <row r="41" customFormat="false" ht="15" hidden="false" customHeight="false" outlineLevel="0" collapsed="false">
      <c r="A41" s="5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7" min="6" style="0" width="40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345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346</v>
      </c>
    </row>
    <row r="4" customFormat="false" ht="15" hidden="false" customHeight="false" outlineLevel="0" collapsed="false">
      <c r="A4" s="6" t="s">
        <v>347</v>
      </c>
      <c r="B4" s="6" t="s">
        <v>348</v>
      </c>
      <c r="C4" s="6" t="s">
        <v>349</v>
      </c>
      <c r="D4" s="6" t="s">
        <v>350</v>
      </c>
      <c r="E4" s="6" t="s">
        <v>351</v>
      </c>
      <c r="F4" s="6" t="s">
        <v>352</v>
      </c>
      <c r="G4" s="6" t="s">
        <v>353</v>
      </c>
      <c r="H4" s="6" t="s">
        <v>354</v>
      </c>
    </row>
    <row r="5" customFormat="false" ht="61.5" hidden="false" customHeight="true" outlineLevel="0" collapsed="false">
      <c r="A5" s="22" t="n">
        <v>1</v>
      </c>
      <c r="B5" s="4" t="s">
        <v>355</v>
      </c>
      <c r="C5" s="56" t="s">
        <v>62</v>
      </c>
      <c r="D5" s="4" t="s">
        <v>356</v>
      </c>
      <c r="E5" s="4" t="s">
        <v>357</v>
      </c>
      <c r="F5" s="4" t="s">
        <v>358</v>
      </c>
      <c r="G5" s="4" t="s">
        <v>359</v>
      </c>
      <c r="H5" s="4" t="s">
        <v>360</v>
      </c>
    </row>
    <row r="6" customFormat="false" ht="61.5" hidden="false" customHeight="true" outlineLevel="0" collapsed="false">
      <c r="A6" s="22" t="n">
        <v>2</v>
      </c>
      <c r="B6" s="4" t="s">
        <v>361</v>
      </c>
      <c r="C6" s="56" t="s">
        <v>62</v>
      </c>
      <c r="D6" s="4" t="s">
        <v>362</v>
      </c>
      <c r="E6" s="4" t="s">
        <v>363</v>
      </c>
      <c r="F6" s="4" t="s">
        <v>364</v>
      </c>
      <c r="G6" s="4" t="s">
        <v>365</v>
      </c>
      <c r="H6" s="4" t="s">
        <v>366</v>
      </c>
    </row>
    <row r="7" customFormat="false" ht="61.5" hidden="false" customHeight="true" outlineLevel="0" collapsed="false">
      <c r="A7" s="22" t="n">
        <v>3</v>
      </c>
      <c r="B7" s="4" t="s">
        <v>367</v>
      </c>
      <c r="C7" s="56" t="s">
        <v>26</v>
      </c>
      <c r="D7" s="4" t="s">
        <v>368</v>
      </c>
      <c r="E7" s="4" t="s">
        <v>369</v>
      </c>
      <c r="F7" s="4" t="s">
        <v>370</v>
      </c>
      <c r="G7" s="4" t="s">
        <v>371</v>
      </c>
      <c r="H7" s="4" t="s">
        <v>372</v>
      </c>
    </row>
    <row r="8" customFormat="false" ht="61.5" hidden="false" customHeight="true" outlineLevel="0" collapsed="false">
      <c r="A8" s="22" t="n">
        <v>4</v>
      </c>
      <c r="B8" s="4" t="s">
        <v>373</v>
      </c>
      <c r="C8" s="56" t="s">
        <v>26</v>
      </c>
      <c r="D8" s="4" t="s">
        <v>374</v>
      </c>
      <c r="E8" s="4" t="s">
        <v>375</v>
      </c>
      <c r="F8" s="4" t="s">
        <v>376</v>
      </c>
      <c r="G8" s="4" t="s">
        <v>377</v>
      </c>
      <c r="H8" s="4" t="s">
        <v>372</v>
      </c>
    </row>
    <row r="9" customFormat="false" ht="61.5" hidden="false" customHeight="true" outlineLevel="0" collapsed="false">
      <c r="A9" s="22" t="n">
        <v>5</v>
      </c>
      <c r="B9" s="4" t="s">
        <v>378</v>
      </c>
      <c r="C9" s="56" t="s">
        <v>26</v>
      </c>
      <c r="D9" s="4" t="s">
        <v>379</v>
      </c>
      <c r="E9" s="4" t="s">
        <v>380</v>
      </c>
      <c r="F9" s="4" t="s">
        <v>381</v>
      </c>
      <c r="G9" s="4" t="s">
        <v>382</v>
      </c>
      <c r="H9" s="4" t="s">
        <v>360</v>
      </c>
    </row>
    <row r="10" customFormat="false" ht="61.5" hidden="false" customHeight="true" outlineLevel="0" collapsed="false">
      <c r="A10" s="22" t="n">
        <v>6</v>
      </c>
      <c r="B10" s="4" t="s">
        <v>383</v>
      </c>
      <c r="C10" s="56" t="s">
        <v>62</v>
      </c>
      <c r="D10" s="4" t="s">
        <v>384</v>
      </c>
      <c r="E10" s="4" t="s">
        <v>385</v>
      </c>
      <c r="F10" s="4" t="s">
        <v>386</v>
      </c>
      <c r="G10" s="4" t="s">
        <v>387</v>
      </c>
      <c r="H10" s="4" t="s">
        <v>388</v>
      </c>
    </row>
    <row r="11" customFormat="false" ht="61.5" hidden="false" customHeight="true" outlineLevel="0" collapsed="false">
      <c r="A11" s="22" t="n">
        <v>7</v>
      </c>
      <c r="B11" s="4" t="s">
        <v>389</v>
      </c>
      <c r="C11" s="56" t="s">
        <v>390</v>
      </c>
      <c r="D11" s="4" t="s">
        <v>391</v>
      </c>
      <c r="E11" s="4" t="s">
        <v>392</v>
      </c>
      <c r="F11" s="4" t="s">
        <v>393</v>
      </c>
      <c r="G11" s="4" t="s">
        <v>394</v>
      </c>
      <c r="H11" s="4" t="s">
        <v>395</v>
      </c>
    </row>
    <row r="12" customFormat="false" ht="61.5" hidden="false" customHeight="true" outlineLevel="0" collapsed="false">
      <c r="A12" s="22" t="n">
        <v>8</v>
      </c>
      <c r="B12" s="4" t="s">
        <v>396</v>
      </c>
      <c r="C12" s="56" t="s">
        <v>397</v>
      </c>
      <c r="D12" s="4" t="s">
        <v>398</v>
      </c>
      <c r="E12" s="4" t="s">
        <v>399</v>
      </c>
      <c r="F12" s="4" t="s">
        <v>400</v>
      </c>
      <c r="G12" s="4" t="s">
        <v>401</v>
      </c>
      <c r="H12" s="4" t="s">
        <v>402</v>
      </c>
    </row>
    <row r="13" customFormat="false" ht="61.5" hidden="false" customHeight="true" outlineLevel="0" collapsed="false">
      <c r="A13" s="22" t="n">
        <v>9</v>
      </c>
      <c r="B13" s="4" t="s">
        <v>403</v>
      </c>
      <c r="C13" s="56" t="s">
        <v>26</v>
      </c>
      <c r="D13" s="4" t="s">
        <v>404</v>
      </c>
      <c r="E13" s="4" t="s">
        <v>405</v>
      </c>
      <c r="F13" s="4" t="s">
        <v>406</v>
      </c>
      <c r="G13" s="4" t="s">
        <v>407</v>
      </c>
      <c r="H13" s="4" t="s">
        <v>408</v>
      </c>
    </row>
    <row r="14" customFormat="false" ht="61.5" hidden="false" customHeight="true" outlineLevel="0" collapsed="false">
      <c r="A14" s="22" t="n">
        <v>10</v>
      </c>
      <c r="B14" s="4" t="s">
        <v>409</v>
      </c>
      <c r="C14" s="56" t="s">
        <v>390</v>
      </c>
      <c r="D14" s="4" t="s">
        <v>410</v>
      </c>
      <c r="E14" s="4" t="s">
        <v>411</v>
      </c>
      <c r="F14" s="4" t="s">
        <v>412</v>
      </c>
      <c r="G14" s="4" t="s">
        <v>413</v>
      </c>
      <c r="H14" s="4" t="s">
        <v>414</v>
      </c>
    </row>
    <row r="15" customFormat="false" ht="61.5" hidden="false" customHeight="true" outlineLevel="0" collapsed="false">
      <c r="A15" s="22" t="n">
        <v>11</v>
      </c>
      <c r="B15" s="4" t="s">
        <v>415</v>
      </c>
      <c r="C15" s="56" t="s">
        <v>390</v>
      </c>
      <c r="D15" s="4" t="s">
        <v>416</v>
      </c>
      <c r="E15" s="4" t="s">
        <v>417</v>
      </c>
      <c r="F15" s="4" t="s">
        <v>418</v>
      </c>
      <c r="G15" s="4" t="s">
        <v>419</v>
      </c>
      <c r="H15" s="4" t="s">
        <v>372</v>
      </c>
    </row>
    <row r="16" customFormat="false" ht="61.5" hidden="false" customHeight="true" outlineLevel="0" collapsed="false">
      <c r="A16" s="22" t="n">
        <v>12</v>
      </c>
      <c r="B16" s="4" t="s">
        <v>420</v>
      </c>
      <c r="C16" s="56" t="s">
        <v>26</v>
      </c>
      <c r="D16" s="4" t="s">
        <v>421</v>
      </c>
      <c r="E16" s="4" t="s">
        <v>422</v>
      </c>
      <c r="F16" s="4" t="s">
        <v>423</v>
      </c>
      <c r="G16" s="4" t="s">
        <v>424</v>
      </c>
      <c r="H16" s="4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425</v>
      </c>
      <c r="B1" s="2"/>
      <c r="C1" s="2"/>
    </row>
    <row r="2" customFormat="false" ht="15" hidden="false" customHeight="false" outlineLevel="0" collapsed="false">
      <c r="A2" s="5" t="s">
        <v>426</v>
      </c>
    </row>
    <row r="4" customFormat="false" ht="15" hidden="false" customHeight="false" outlineLevel="0" collapsed="false">
      <c r="A4" s="6" t="s">
        <v>427</v>
      </c>
      <c r="B4" s="6" t="s">
        <v>20</v>
      </c>
      <c r="C4" s="6" t="s">
        <v>428</v>
      </c>
    </row>
    <row r="5" customFormat="false" ht="15" hidden="false" customHeight="false" outlineLevel="0" collapsed="false">
      <c r="A5" s="9" t="s">
        <v>429</v>
      </c>
      <c r="B5" s="57" t="n">
        <f aca="false">Inputs!B9+Inputs!B8-Inputs!B7</f>
        <v>0</v>
      </c>
      <c r="C5" s="23" t="str">
        <f aca="false">IF(ABS(B5)&lt;0.001,"OK","CHECK")</f>
        <v>OK</v>
      </c>
    </row>
    <row r="6" customFormat="false" ht="15" hidden="false" customHeight="false" outlineLevel="0" collapsed="false">
      <c r="A6" s="9" t="s">
        <v>430</v>
      </c>
      <c r="B6" s="57" t="n">
        <f aca="false">Inputs!B27</f>
        <v>1</v>
      </c>
      <c r="C6" s="23" t="str">
        <f aca="false">IF(ABS(B6-1)&lt;0.0001,"OK","CHECK")</f>
        <v>OK</v>
      </c>
    </row>
    <row r="7" customFormat="false" ht="15" hidden="false" customHeight="false" outlineLevel="0" collapsed="false">
      <c r="A7" s="9" t="s">
        <v>431</v>
      </c>
      <c r="B7" s="57" t="n">
        <f aca="false">Inputs!C36</f>
        <v>1</v>
      </c>
      <c r="C7" s="23" t="str">
        <f aca="false">IF(ABS(B7-1)&lt;0.0001,"OK","CHECK")</f>
        <v>OK</v>
      </c>
    </row>
    <row r="8" customFormat="false" ht="15" hidden="false" customHeight="false" outlineLevel="0" collapsed="false">
      <c r="A8" s="9" t="s">
        <v>432</v>
      </c>
      <c r="B8" s="57" t="n">
        <f aca="false">Round_CapTable!B19-Inputs!B8</f>
        <v>0</v>
      </c>
      <c r="C8" s="23" t="str">
        <f aca="false">IF(ABS(B8)&lt;0.001,"OK","CHECK")</f>
        <v>OK</v>
      </c>
    </row>
    <row r="9" customFormat="false" ht="15" hidden="false" customHeight="false" outlineLevel="0" collapsed="false">
      <c r="A9" s="9" t="s">
        <v>433</v>
      </c>
      <c r="B9" s="57" t="n">
        <f aca="false">Round_CapTable!B9</f>
        <v>1</v>
      </c>
      <c r="C9" s="23" t="str">
        <f aca="false">IF(ABS(B9-1)&lt;0.0001,"OK","CHECK")</f>
        <v>OK</v>
      </c>
    </row>
    <row r="10" customFormat="false" ht="15" hidden="false" customHeight="false" outlineLevel="0" collapsed="false">
      <c r="A10" s="9" t="s">
        <v>434</v>
      </c>
      <c r="B10" s="57" t="n">
        <f aca="false">Round_CapTable!C9</f>
        <v>1</v>
      </c>
      <c r="C10" s="23" t="str">
        <f aca="false">IF(ABS(B10-1)&lt;0.0001,"OK","CHECK")</f>
        <v>OK</v>
      </c>
    </row>
    <row r="11" customFormat="false" ht="15" hidden="false" customHeight="false" outlineLevel="0" collapsed="false">
      <c r="A11" s="9" t="s">
        <v>435</v>
      </c>
      <c r="B11" s="57" t="n">
        <f aca="false">Use_of_Funds!B18-Inputs!B8</f>
        <v>0</v>
      </c>
      <c r="C11" s="23" t="str">
        <f aca="false">IF(ABS(B11)&lt;0.001,"OK","CHECK")</f>
        <v>OK</v>
      </c>
    </row>
    <row r="12" customFormat="false" ht="15" hidden="false" customHeight="false" outlineLevel="0" collapsed="false">
      <c r="A12" s="9" t="s">
        <v>436</v>
      </c>
      <c r="B12" s="57" t="n">
        <f aca="false">Use_of_Funds!C17</f>
        <v>0.107027777777778</v>
      </c>
      <c r="C12" s="23" t="str">
        <f aca="false">IF(B12&gt;=Inputs!B15,"OK","CHECK")</f>
        <v>OK</v>
      </c>
    </row>
    <row r="13" customFormat="false" ht="15" hidden="false" customHeight="false" outlineLevel="0" collapsed="false">
      <c r="A13" s="9" t="s">
        <v>437</v>
      </c>
      <c r="B13" s="57" t="n">
        <f aca="false">MIN(Burn_Plan!C46:R46)</f>
        <v>12.905</v>
      </c>
      <c r="C13" s="23" t="str">
        <f aca="false">IF(B13&gt;=0,"OK","CHECK")</f>
        <v>OK</v>
      </c>
    </row>
    <row r="14" customFormat="false" ht="15" hidden="false" customHeight="false" outlineLevel="0" collapsed="false">
      <c r="A14" s="9" t="s">
        <v>438</v>
      </c>
      <c r="B14" s="57" t="n">
        <f aca="false">Inputs!E23-Stage_Plan!B15</f>
        <v>15.365</v>
      </c>
      <c r="C14" s="23" t="str">
        <f aca="false">IF(B14&gt;=0,"OK","CHECK")</f>
        <v>OK</v>
      </c>
    </row>
    <row r="15" customFormat="false" ht="15" hidden="false" customHeight="false" outlineLevel="0" collapsed="false">
      <c r="A15" s="9" t="s">
        <v>439</v>
      </c>
      <c r="B15" s="57" t="n">
        <f aca="false">Burn_Plan!R46-(Use_of_Funds!B17)</f>
        <v>0</v>
      </c>
      <c r="C15" s="23" t="str">
        <f aca="false">IF(ABS(B15)&lt;0.001,"OK","CHECK")</f>
        <v>OK</v>
      </c>
    </row>
    <row r="16" customFormat="false" ht="15" hidden="false" customHeight="false" outlineLevel="0" collapsed="false">
      <c r="A16" s="9" t="s">
        <v>440</v>
      </c>
      <c r="B16" s="57" t="n">
        <f aca="false">Burn_Plan!R47-SUM(Use_of_Funds!B5:B15)</f>
        <v>0</v>
      </c>
      <c r="C16" s="23" t="str">
        <f aca="false">IF(ABS(B16)&lt;0.001,"OK","CHECK")</f>
        <v>OK</v>
      </c>
    </row>
    <row r="18" customFormat="false" ht="15" hidden="false" customHeight="false" outlineLevel="0" collapsed="false">
      <c r="A18" s="23" t="s">
        <v>441</v>
      </c>
      <c r="C18" s="58" t="str">
        <f aca="false">IF(COUNTIF(C5:C16,"OK")=12,"ALL OK","REVIEW")</f>
        <v>ALL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2026-10-16T16:35:23Z</dcterms:created>
  <dc:creator>openpyxl</dc:creator>
  <dc:description/>
  <dc:language>en-US</dc:language>
  <cp:lastModifiedBy/>
  <dcterms:modified xsi:type="dcterms:W3CDTF">2026-10-16T16:35:23Z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